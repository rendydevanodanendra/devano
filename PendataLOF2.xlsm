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mester 4\Penambanga Data\Pertemuan5\"/>
    </mc:Choice>
  </mc:AlternateContent>
  <xr:revisionPtr revIDLastSave="0" documentId="13_ncr:1_{5E2573B4-E203-4D79-A476-5D15F9348DC3}" xr6:coauthVersionLast="47" xr6:coauthVersionMax="47" xr10:uidLastSave="{00000000-0000-0000-0000-000000000000}"/>
  <bookViews>
    <workbookView xWindow="-108" yWindow="-108" windowWidth="23256" windowHeight="12456" activeTab="1" xr2:uid="{393D9328-4A56-428A-B158-54917B534CEE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2" i="2" l="1"/>
  <c r="C61" i="2"/>
  <c r="C59" i="2"/>
  <c r="C60" i="2"/>
  <c r="C58" i="2"/>
  <c r="C57" i="2"/>
  <c r="C56" i="2"/>
  <c r="C55" i="2"/>
  <c r="C54" i="2"/>
  <c r="C53" i="2"/>
  <c r="C50" i="2"/>
  <c r="C49" i="2"/>
  <c r="C48" i="2"/>
  <c r="C47" i="2"/>
  <c r="C46" i="2"/>
  <c r="C45" i="2"/>
  <c r="C44" i="2"/>
  <c r="C43" i="2"/>
  <c r="C42" i="2"/>
  <c r="C41" i="2"/>
  <c r="D38" i="2"/>
  <c r="J37" i="2"/>
  <c r="D37" i="2"/>
  <c r="F36" i="2"/>
  <c r="J35" i="2"/>
  <c r="G34" i="2"/>
  <c r="C33" i="2"/>
  <c r="G32" i="2"/>
  <c r="J32" i="2"/>
  <c r="C31" i="2"/>
  <c r="K30" i="2"/>
  <c r="G29" i="2"/>
  <c r="J30" i="2"/>
  <c r="K29" i="2"/>
  <c r="G31" i="2"/>
  <c r="I38" i="2"/>
  <c r="C37" i="2"/>
  <c r="E36" i="2"/>
  <c r="F35" i="2"/>
  <c r="F34" i="2"/>
  <c r="E33" i="2"/>
  <c r="K36" i="2"/>
  <c r="I34" i="2"/>
  <c r="F33" i="2"/>
  <c r="I32" i="2"/>
  <c r="F31" i="2"/>
  <c r="J38" i="2"/>
  <c r="C30" i="2"/>
  <c r="H35" i="2"/>
  <c r="J29" i="2"/>
  <c r="N12" i="2"/>
  <c r="H9" i="2"/>
  <c r="H10" i="2"/>
  <c r="G16" i="2"/>
  <c r="H17" i="2"/>
  <c r="K25" i="2"/>
  <c r="J25" i="2"/>
  <c r="I25" i="2"/>
  <c r="H25" i="2"/>
  <c r="G25" i="2"/>
  <c r="F25" i="2"/>
  <c r="E25" i="2"/>
  <c r="D25" i="2"/>
  <c r="C25" i="2"/>
  <c r="L12" i="2" s="1"/>
  <c r="L24" i="2"/>
  <c r="J11" i="2" s="1"/>
  <c r="J24" i="2"/>
  <c r="I24" i="2"/>
  <c r="H24" i="2"/>
  <c r="G24" i="2"/>
  <c r="F24" i="2"/>
  <c r="E24" i="2"/>
  <c r="L11" i="2" s="1"/>
  <c r="D24" i="2"/>
  <c r="C24" i="2"/>
  <c r="L23" i="2"/>
  <c r="K23" i="2"/>
  <c r="I23" i="2"/>
  <c r="H23" i="2"/>
  <c r="G23" i="2"/>
  <c r="F23" i="2"/>
  <c r="E23" i="2"/>
  <c r="D23" i="2"/>
  <c r="C23" i="2"/>
  <c r="L10" i="2" s="1"/>
  <c r="L22" i="2"/>
  <c r="K22" i="2"/>
  <c r="J22" i="2"/>
  <c r="H22" i="2"/>
  <c r="G22" i="2"/>
  <c r="F22" i="2"/>
  <c r="E22" i="2"/>
  <c r="D22" i="2"/>
  <c r="C22" i="2"/>
  <c r="L9" i="2" s="1"/>
  <c r="L21" i="2"/>
  <c r="K21" i="2"/>
  <c r="J21" i="2"/>
  <c r="I21" i="2"/>
  <c r="G21" i="2"/>
  <c r="F21" i="2"/>
  <c r="E21" i="2"/>
  <c r="D21" i="2"/>
  <c r="C21" i="2"/>
  <c r="L8" i="2" s="1"/>
  <c r="L20" i="2"/>
  <c r="K20" i="2"/>
  <c r="J20" i="2"/>
  <c r="I20" i="2"/>
  <c r="J7" i="2" s="1"/>
  <c r="H20" i="2"/>
  <c r="F20" i="2"/>
  <c r="E20" i="2"/>
  <c r="D20" i="2"/>
  <c r="C20" i="2"/>
  <c r="L19" i="2"/>
  <c r="K19" i="2"/>
  <c r="J19" i="2"/>
  <c r="I19" i="2"/>
  <c r="H19" i="2"/>
  <c r="G19" i="2"/>
  <c r="E19" i="2"/>
  <c r="D19" i="2"/>
  <c r="C19" i="2"/>
  <c r="J6" i="2" s="1"/>
  <c r="L18" i="2"/>
  <c r="K18" i="2"/>
  <c r="J18" i="2"/>
  <c r="I18" i="2"/>
  <c r="H18" i="2"/>
  <c r="G18" i="2"/>
  <c r="F18" i="2"/>
  <c r="J5" i="2" s="1"/>
  <c r="D18" i="2"/>
  <c r="C18" i="2"/>
  <c r="L5" i="2" s="1"/>
  <c r="L17" i="2"/>
  <c r="K17" i="2"/>
  <c r="J17" i="2"/>
  <c r="I17" i="2"/>
  <c r="G17" i="2"/>
  <c r="F17" i="2"/>
  <c r="E17" i="2"/>
  <c r="C17" i="2"/>
  <c r="J4" i="2" s="1"/>
  <c r="L16" i="2"/>
  <c r="K16" i="2"/>
  <c r="J16" i="2"/>
  <c r="I16" i="2"/>
  <c r="H16" i="2"/>
  <c r="F16" i="2"/>
  <c r="E16" i="2"/>
  <c r="D16" i="2"/>
  <c r="L3" i="2" s="1"/>
  <c r="C16" i="2"/>
  <c r="J8" i="2"/>
  <c r="H8" i="2"/>
  <c r="H7" i="2"/>
  <c r="L6" i="2"/>
  <c r="H5" i="2"/>
  <c r="L4" i="2"/>
  <c r="J20" i="1"/>
  <c r="S6" i="1"/>
  <c r="S5" i="1"/>
  <c r="S4" i="1"/>
  <c r="H24" i="1"/>
  <c r="H23" i="1"/>
  <c r="O11" i="1"/>
  <c r="O10" i="1"/>
  <c r="O9" i="1"/>
  <c r="C24" i="1"/>
  <c r="O6" i="1"/>
  <c r="O5" i="1"/>
  <c r="O4" i="1"/>
  <c r="W11" i="1"/>
  <c r="W10" i="1"/>
  <c r="W9" i="1"/>
  <c r="W5" i="1"/>
  <c r="W4" i="1"/>
  <c r="W6" i="1"/>
  <c r="S11" i="1"/>
  <c r="S10" i="1"/>
  <c r="T29" i="1"/>
  <c r="T28" i="1"/>
  <c r="E31" i="1"/>
  <c r="O16" i="1"/>
  <c r="T24" i="1" s="1"/>
  <c r="J4" i="1"/>
  <c r="E23" i="1"/>
  <c r="C30" i="1"/>
  <c r="E30" i="1" s="1"/>
  <c r="C29" i="1"/>
  <c r="E29" i="1" s="1"/>
  <c r="T33" i="1" s="1"/>
  <c r="C28" i="1"/>
  <c r="E28" i="1" s="1"/>
  <c r="O34" i="1" s="1"/>
  <c r="C27" i="1"/>
  <c r="E27" i="1" s="1"/>
  <c r="J35" i="1" s="1"/>
  <c r="R20" i="1"/>
  <c r="T20" i="1" s="1"/>
  <c r="R19" i="1"/>
  <c r="T19" i="1" s="1"/>
  <c r="T32" i="1" s="1"/>
  <c r="R18" i="1"/>
  <c r="T18" i="1" s="1"/>
  <c r="O33" i="1" s="1"/>
  <c r="R17" i="1"/>
  <c r="T17" i="1" s="1"/>
  <c r="J34" i="1" s="1"/>
  <c r="R16" i="1"/>
  <c r="T16" i="1" s="1"/>
  <c r="E35" i="1" s="1"/>
  <c r="M21" i="1"/>
  <c r="O21" i="1" s="1"/>
  <c r="M20" i="1"/>
  <c r="O20" i="1" s="1"/>
  <c r="T31" i="1" s="1"/>
  <c r="M19" i="1"/>
  <c r="O19" i="1" s="1"/>
  <c r="O32" i="1" s="1"/>
  <c r="M18" i="1"/>
  <c r="O18" i="1" s="1"/>
  <c r="J33" i="1" s="1"/>
  <c r="M17" i="1"/>
  <c r="O17" i="1" s="1"/>
  <c r="E34" i="1" s="1"/>
  <c r="M16" i="1"/>
  <c r="C23" i="1"/>
  <c r="H22" i="1"/>
  <c r="J22" i="1" s="1"/>
  <c r="H21" i="1"/>
  <c r="J21" i="1" s="1"/>
  <c r="T30" i="1" s="1"/>
  <c r="H20" i="1"/>
  <c r="H19" i="1"/>
  <c r="J19" i="1" s="1"/>
  <c r="J32" i="1" s="1"/>
  <c r="H18" i="1"/>
  <c r="J18" i="1" s="1"/>
  <c r="E33" i="1" s="1"/>
  <c r="H17" i="1"/>
  <c r="J17" i="1" s="1"/>
  <c r="T23" i="1" s="1"/>
  <c r="H16" i="1"/>
  <c r="J16" i="1" s="1"/>
  <c r="C22" i="1"/>
  <c r="E22" i="1" s="1"/>
  <c r="C18" i="1"/>
  <c r="E18" i="1" s="1"/>
  <c r="T22" i="1" s="1"/>
  <c r="C21" i="1"/>
  <c r="E21" i="1" s="1"/>
  <c r="O30" i="1" s="1"/>
  <c r="C20" i="1"/>
  <c r="E20" i="1" s="1"/>
  <c r="J31" i="1" s="1"/>
  <c r="C19" i="1"/>
  <c r="E19" i="1" s="1"/>
  <c r="E32" i="1" s="1"/>
  <c r="C17" i="1"/>
  <c r="C16" i="1"/>
  <c r="E16" i="1" s="1"/>
  <c r="H12" i="1"/>
  <c r="J12" i="1" s="1"/>
  <c r="H8" i="1"/>
  <c r="J8" i="1" s="1"/>
  <c r="H11" i="1"/>
  <c r="J11" i="1" s="1"/>
  <c r="H10" i="1"/>
  <c r="J10" i="1" s="1"/>
  <c r="O29" i="1" s="1"/>
  <c r="H9" i="1"/>
  <c r="J9" i="1" s="1"/>
  <c r="J30" i="1" s="1"/>
  <c r="H7" i="1"/>
  <c r="J7" i="1" s="1"/>
  <c r="T21" i="1" s="1"/>
  <c r="H6" i="1"/>
  <c r="J6" i="1" s="1"/>
  <c r="O22" i="1" s="1"/>
  <c r="H4" i="1"/>
  <c r="E24" i="1" s="1"/>
  <c r="H5" i="1"/>
  <c r="J5" i="1" s="1"/>
  <c r="J24" i="1" s="1"/>
  <c r="R27" i="1" a="1"/>
  <c r="M28" i="1" a="1"/>
  <c r="M27" i="1" a="1"/>
  <c r="H29" i="1" a="1"/>
  <c r="H28" i="1" a="1"/>
  <c r="H27" i="1" a="1"/>
  <c r="H3" i="2" l="1"/>
  <c r="J3" i="2"/>
  <c r="J9" i="2"/>
  <c r="J10" i="2"/>
  <c r="H4" i="2"/>
  <c r="L7" i="2"/>
  <c r="H11" i="2"/>
  <c r="H12" i="2"/>
  <c r="J12" i="2"/>
  <c r="H6" i="2"/>
  <c r="O31" i="1"/>
  <c r="O24" i="1"/>
  <c r="J23" i="1"/>
  <c r="R27" i="1"/>
  <c r="T27" i="1" s="1"/>
  <c r="M28" i="1"/>
  <c r="O28" i="1" s="1"/>
  <c r="M27" i="1"/>
  <c r="O27" i="1" s="1"/>
  <c r="T35" i="1" s="1"/>
  <c r="H29" i="1"/>
  <c r="J29" i="1" s="1"/>
  <c r="H28" i="1"/>
  <c r="J28" i="1" s="1"/>
  <c r="T34" i="1" s="1"/>
  <c r="H27" i="1"/>
  <c r="J27" i="1" s="1"/>
  <c r="O35" i="1" s="1"/>
  <c r="E17" i="1"/>
  <c r="O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<sst xmlns="http://schemas.openxmlformats.org/spreadsheetml/2006/main" count="107" uniqueCount="68">
  <si>
    <t>titik</t>
  </si>
  <si>
    <t>x1</t>
  </si>
  <si>
    <t>x2</t>
  </si>
  <si>
    <t>d</t>
  </si>
  <si>
    <t>Column1</t>
  </si>
  <si>
    <t>Column2</t>
  </si>
  <si>
    <t>Column3</t>
  </si>
  <si>
    <t>3 dan 10</t>
  </si>
  <si>
    <t>hasil</t>
  </si>
  <si>
    <t>hasil2</t>
  </si>
  <si>
    <t>2 dan 10</t>
  </si>
  <si>
    <t>1 dan 10</t>
  </si>
  <si>
    <t>4 dan 10</t>
  </si>
  <si>
    <t>6 dan 10</t>
  </si>
  <si>
    <t>5 dan 10</t>
  </si>
  <si>
    <t>7 dan 10</t>
  </si>
  <si>
    <t>8 dan 10</t>
  </si>
  <si>
    <t>9 dan 10</t>
  </si>
  <si>
    <t>K-Distance titik 1</t>
  </si>
  <si>
    <t>K-Distance titik 2</t>
  </si>
  <si>
    <t>3,1</t>
  </si>
  <si>
    <t>1</t>
  </si>
  <si>
    <t>K-Distance titik 3</t>
  </si>
  <si>
    <t>K-Distance titik 4</t>
  </si>
  <si>
    <t>K-Distance titik 5</t>
  </si>
  <si>
    <t>K-Distance titik 6</t>
  </si>
  <si>
    <t>data</t>
  </si>
  <si>
    <t>x</t>
  </si>
  <si>
    <t>y</t>
  </si>
  <si>
    <t>Jarak</t>
  </si>
  <si>
    <t>1. Menghitung jarak dengan Euclidean</t>
  </si>
  <si>
    <t>Titik</t>
  </si>
  <si>
    <t>2. Menghitung Reachability Distance</t>
  </si>
  <si>
    <t>K =</t>
  </si>
  <si>
    <t xml:space="preserve">k-distance(B) = jarak ke-3 tetangga terjauh dari B </t>
  </si>
  <si>
    <t>d(A,B) = jarak euclidean antara A dan B</t>
  </si>
  <si>
    <t>3. Menghitung LRD</t>
  </si>
  <si>
    <t>LRD(1) =</t>
  </si>
  <si>
    <t>LRD(2) =</t>
  </si>
  <si>
    <t>LRD(3) =</t>
  </si>
  <si>
    <t>LRD(4)  =</t>
  </si>
  <si>
    <t>LRD(5) =</t>
  </si>
  <si>
    <t>LRD(6) =</t>
  </si>
  <si>
    <t>LRD(7) =</t>
  </si>
  <si>
    <t>LRD(8) =</t>
  </si>
  <si>
    <t>LRD(9) =</t>
  </si>
  <si>
    <t>LRD(10) =</t>
  </si>
  <si>
    <t>4. Menghitung LOF</t>
  </si>
  <si>
    <t xml:space="preserve">LOF(1) = </t>
  </si>
  <si>
    <t xml:space="preserve">LOF(2) = </t>
  </si>
  <si>
    <t xml:space="preserve">LOF(3) = </t>
  </si>
  <si>
    <t xml:space="preserve">LOF(4) = </t>
  </si>
  <si>
    <t xml:space="preserve">LOF(5) = </t>
  </si>
  <si>
    <t xml:space="preserve">LOF(6) = </t>
  </si>
  <si>
    <t xml:space="preserve">LOF(7) = </t>
  </si>
  <si>
    <t xml:space="preserve">LOF(8) = </t>
  </si>
  <si>
    <t xml:space="preserve">LOF(9) = </t>
  </si>
  <si>
    <t xml:space="preserve">LOF(10) = </t>
  </si>
  <si>
    <t>3 tetangga terdekat = (9,5,8)</t>
  </si>
  <si>
    <t>3 tetangga terdekat = (8,9,1)</t>
  </si>
  <si>
    <t>3 tetangga terdekat = (5,1,4)</t>
  </si>
  <si>
    <t>3 tetangga terdekat = (8,5,7)</t>
  </si>
  <si>
    <t>3 tetangga terdekat = (3,1,4)</t>
  </si>
  <si>
    <t>3 tetangga terdekat = (4,5,7)</t>
  </si>
  <si>
    <t>3 tetangga terdekat = (4,8,6)</t>
  </si>
  <si>
    <t>3 tetangga terdekat = (3,4,9)</t>
  </si>
  <si>
    <t>3 tetangga terdekat = (1, 2, 8)</t>
  </si>
  <si>
    <t>3 tetangga terdekat = (7,2,8)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</si>
</sst>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</font>
    <font>
      <sz val="10"/>
      <color theme="1"/>
      <name val="Calibri"/>
      <scheme val="minor"/>
    </font>
    <font>
      <sz val="1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00FF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7"/>
        <bgColor rgb="FF00FF00"/>
      </patternFill>
    </fill>
    <fill>
      <patternFill patternType="solid">
        <fgColor rgb="FFFFFF00"/>
        <bgColor rgb="FF00FF00"/>
      </patternFill>
    </fill>
    <fill>
      <patternFill patternType="solid">
        <fgColor theme="0"/>
        <bgColor rgb="FF00FFFF"/>
      </patternFill>
    </fill>
    <fill>
      <patternFill patternType="solid">
        <fgColor rgb="FFFFFF00"/>
        <bgColor rgb="FF00FFFF"/>
      </patternFill>
    </fill>
    <fill>
      <patternFill patternType="solid">
        <fgColor rgb="FFFFC000"/>
        <bgColor rgb="FF00FF00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rgb="FF00FFFF"/>
      </patternFill>
    </fill>
    <fill>
      <patternFill patternType="solid">
        <fgColor rgb="FFFFC000"/>
        <bgColor rgb="FF00FFFF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/>
    <xf numFmtId="0" fontId="0" fillId="3" borderId="0" xfId="0" applyFill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49" fontId="2" fillId="0" borderId="1" xfId="0" applyNumberFormat="1" applyFont="1" applyBorder="1" applyAlignment="1">
      <alignment horizontal="right"/>
    </xf>
    <xf numFmtId="49" fontId="2" fillId="4" borderId="1" xfId="0" applyNumberFormat="1" applyFont="1" applyFill="1" applyBorder="1" applyAlignment="1">
      <alignment horizontal="right"/>
    </xf>
    <xf numFmtId="49" fontId="2" fillId="3" borderId="1" xfId="0" applyNumberFormat="1" applyFont="1" applyFill="1" applyBorder="1" applyAlignment="1">
      <alignment horizontal="right"/>
    </xf>
    <xf numFmtId="49" fontId="2" fillId="2" borderId="1" xfId="0" applyNumberFormat="1" applyFont="1" applyFill="1" applyBorder="1" applyAlignment="1">
      <alignment horizontal="right"/>
    </xf>
    <xf numFmtId="49" fontId="2" fillId="5" borderId="1" xfId="0" applyNumberFormat="1" applyFont="1" applyFill="1" applyBorder="1" applyAlignment="1">
      <alignment horizontal="right"/>
    </xf>
    <xf numFmtId="49" fontId="2" fillId="6" borderId="1" xfId="0" applyNumberFormat="1" applyFont="1" applyFill="1" applyBorder="1" applyAlignment="1">
      <alignment horizontal="right"/>
    </xf>
    <xf numFmtId="49" fontId="1" fillId="0" borderId="1" xfId="0" applyNumberFormat="1" applyFont="1" applyBorder="1" applyAlignment="1">
      <alignment horizontal="right"/>
    </xf>
    <xf numFmtId="49" fontId="1" fillId="7" borderId="1" xfId="0" applyNumberFormat="1" applyFont="1" applyFill="1" applyBorder="1" applyAlignment="1">
      <alignment horizontal="right"/>
    </xf>
    <xf numFmtId="49" fontId="2" fillId="7" borderId="1" xfId="0" applyNumberFormat="1" applyFont="1" applyFill="1" applyBorder="1" applyAlignment="1">
      <alignment horizontal="right"/>
    </xf>
    <xf numFmtId="49" fontId="1" fillId="3" borderId="1" xfId="0" applyNumberFormat="1" applyFont="1" applyFill="1" applyBorder="1" applyAlignment="1">
      <alignment horizontal="right"/>
    </xf>
    <xf numFmtId="49" fontId="1" fillId="8" borderId="1" xfId="0" applyNumberFormat="1" applyFont="1" applyFill="1" applyBorder="1" applyAlignment="1">
      <alignment horizontal="right"/>
    </xf>
    <xf numFmtId="49" fontId="1" fillId="2" borderId="1" xfId="0" applyNumberFormat="1" applyFont="1" applyFill="1" applyBorder="1" applyAlignment="1">
      <alignment horizontal="right"/>
    </xf>
    <xf numFmtId="49" fontId="1" fillId="4" borderId="1" xfId="0" applyNumberFormat="1" applyFont="1" applyFill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2" fontId="2" fillId="0" borderId="1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49" fontId="2" fillId="0" borderId="1" xfId="0" applyNumberFormat="1" applyFont="1" applyBorder="1"/>
    <xf numFmtId="0" fontId="2" fillId="9" borderId="1" xfId="0" applyNumberFormat="1" applyFont="1" applyFill="1" applyBorder="1" applyAlignment="1">
      <alignment horizontal="right"/>
    </xf>
    <xf numFmtId="0" fontId="2" fillId="5" borderId="1" xfId="0" applyNumberFormat="1" applyFont="1" applyFill="1" applyBorder="1" applyAlignment="1">
      <alignment horizontal="right"/>
    </xf>
    <xf numFmtId="0" fontId="3" fillId="5" borderId="1" xfId="0" applyNumberFormat="1" applyFont="1" applyFill="1" applyBorder="1" applyAlignment="1">
      <alignment horizontal="right"/>
    </xf>
    <xf numFmtId="0" fontId="2" fillId="5" borderId="1" xfId="0" applyNumberFormat="1" applyFont="1" applyFill="1" applyBorder="1"/>
    <xf numFmtId="0" fontId="2" fillId="9" borderId="1" xfId="0" applyNumberFormat="1" applyFont="1" applyFill="1" applyBorder="1"/>
    <xf numFmtId="0" fontId="3" fillId="2" borderId="1" xfId="0" applyNumberFormat="1" applyFont="1" applyFill="1" applyBorder="1" applyAlignment="1">
      <alignment horizontal="right"/>
    </xf>
    <xf numFmtId="0" fontId="2" fillId="10" borderId="1" xfId="0" applyNumberFormat="1" applyFont="1" applyFill="1" applyBorder="1" applyAlignment="1">
      <alignment horizontal="right"/>
    </xf>
    <xf numFmtId="0" fontId="2" fillId="2" borderId="1" xfId="0" applyNumberFormat="1" applyFont="1" applyFill="1" applyBorder="1" applyAlignment="1">
      <alignment horizontal="right"/>
    </xf>
    <xf numFmtId="0" fontId="2" fillId="10" borderId="1" xfId="0" applyNumberFormat="1" applyFont="1" applyFill="1" applyBorder="1"/>
    <xf numFmtId="49" fontId="1" fillId="11" borderId="1" xfId="0" applyNumberFormat="1" applyFont="1" applyFill="1" applyBorder="1" applyAlignment="1">
      <alignment horizontal="right"/>
    </xf>
    <xf numFmtId="49" fontId="1" fillId="12" borderId="1" xfId="0" applyNumberFormat="1" applyFont="1" applyFill="1" applyBorder="1" applyAlignment="1">
      <alignment horizontal="right"/>
    </xf>
    <xf numFmtId="49" fontId="2" fillId="12" borderId="1" xfId="0" applyNumberFormat="1" applyFont="1" applyFill="1" applyBorder="1" applyAlignment="1">
      <alignment horizontal="right"/>
    </xf>
    <xf numFmtId="0" fontId="1" fillId="12" borderId="1" xfId="0" applyFont="1" applyFill="1" applyBorder="1" applyAlignment="1">
      <alignment horizontal="right"/>
    </xf>
    <xf numFmtId="0" fontId="0" fillId="12" borderId="2" xfId="0" applyFill="1" applyBorder="1"/>
    <xf numFmtId="0" fontId="0" fillId="2" borderId="2" xfId="0" applyFill="1" applyBorder="1"/>
    <xf numFmtId="0" fontId="0" fillId="13" borderId="2" xfId="0" applyFill="1" applyBorder="1"/>
    <xf numFmtId="49" fontId="2" fillId="13" borderId="1" xfId="0" applyNumberFormat="1" applyFont="1" applyFill="1" applyBorder="1" applyAlignment="1">
      <alignment horizontal="right"/>
    </xf>
    <xf numFmtId="49" fontId="1" fillId="13" borderId="1" xfId="0" applyNumberFormat="1" applyFont="1" applyFill="1" applyBorder="1" applyAlignment="1">
      <alignment horizontal="right"/>
    </xf>
    <xf numFmtId="0" fontId="1" fillId="13" borderId="1" xfId="0" applyFont="1" applyFill="1" applyBorder="1" applyAlignment="1">
      <alignment horizontal="right"/>
    </xf>
    <xf numFmtId="49" fontId="2" fillId="14" borderId="1" xfId="0" applyNumberFormat="1" applyFont="1" applyFill="1" applyBorder="1" applyAlignment="1">
      <alignment horizontal="right"/>
    </xf>
    <xf numFmtId="0" fontId="2" fillId="14" borderId="1" xfId="0" applyNumberFormat="1" applyFont="1" applyFill="1" applyBorder="1"/>
    <xf numFmtId="0" fontId="2" fillId="14" borderId="1" xfId="0" applyNumberFormat="1" applyFont="1" applyFill="1" applyBorder="1" applyAlignment="1">
      <alignment horizontal="right"/>
    </xf>
    <xf numFmtId="0" fontId="2" fillId="13" borderId="1" xfId="0" applyNumberFormat="1" applyFont="1" applyFill="1" applyBorder="1" applyAlignment="1">
      <alignment horizontal="right"/>
    </xf>
    <xf numFmtId="49" fontId="2" fillId="15" borderId="1" xfId="0" applyNumberFormat="1" applyFont="1" applyFill="1" applyBorder="1" applyAlignment="1">
      <alignment horizontal="right"/>
    </xf>
    <xf numFmtId="49" fontId="2" fillId="12" borderId="1" xfId="0" applyNumberFormat="1" applyFont="1" applyFill="1" applyBorder="1"/>
    <xf numFmtId="49" fontId="2" fillId="0" borderId="0" xfId="0" applyNumberFormat="1" applyFont="1"/>
    <xf numFmtId="0" fontId="0" fillId="13" borderId="0" xfId="0" applyFill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914400</xdr:colOff>
      <xdr:row>26</xdr:row>
      <xdr:rowOff>200025</xdr:rowOff>
    </xdr:from>
    <xdr:ext cx="3114675" cy="285750"/>
    <xdr:pic>
      <xdr:nvPicPr>
        <xdr:cNvPr id="2" name="image1.png" title="Gambar">
          <a:extLst>
            <a:ext uri="{FF2B5EF4-FFF2-40B4-BE49-F238E27FC236}">
              <a16:creationId xmlns:a16="http://schemas.microsoft.com/office/drawing/2014/main" id="{37CD5D9B-A591-47AB-A433-E8521E012C07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096500" y="5579745"/>
          <a:ext cx="3114675" cy="285750"/>
        </a:xfrm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7B3D73-ED99-4ACB-B9A9-53C82678B827}" name="Table2" displayName="Table2" ref="B2:D12" totalsRowShown="0">
  <autoFilter ref="B2:D12" xr:uid="{3A7B3D73-ED99-4ACB-B9A9-53C82678B827}"/>
  <tableColumns count="3">
    <tableColumn id="1" xr3:uid="{19AA8B5E-5C91-4524-89E9-B252D4BB60D8}" name="titik"/>
    <tableColumn id="2" xr3:uid="{55B6A905-769F-4321-86B9-8C06F577FCF7}" name="x1"/>
    <tableColumn id="3" xr3:uid="{DB4ED896-1AF7-40EE-B20C-41397FA02E0B}" name="x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BCE789-A458-4535-B2A5-3D8D29DCECB7}" name="Table3" displayName="Table3" ref="G2:J12" totalsRowShown="0">
  <autoFilter ref="G2:J12" xr:uid="{8EBCE789-A458-4535-B2A5-3D8D29DCECB7}"/>
  <tableColumns count="4">
    <tableColumn id="1" xr3:uid="{A93E0572-EED0-4E82-8940-A3688265913E}" name="titik"/>
    <tableColumn id="2" xr3:uid="{1BF43E57-8716-472D-BEC0-E92596FED2C2}" name="Column1"/>
    <tableColumn id="3" xr3:uid="{ADBF4CB2-4D90-452E-A02C-A7F57146AD40}" name="Column3"/>
    <tableColumn id="4" xr3:uid="{32CDAB73-6E4F-4E80-B7E1-E53C493DC796}" name="hasil2">
      <calculatedColumnFormula>SQRT(H3)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1DAFB3-56FA-4A5D-95E1-1AA7743C589E}" name="Table4" displayName="Table4" ref="B15:E23" totalsRowShown="0">
  <autoFilter ref="B15:E23" xr:uid="{281DAFB3-56FA-4A5D-95E1-1AA7743C589E}"/>
  <tableColumns count="4">
    <tableColumn id="1" xr3:uid="{75784F27-54BD-41DA-9DA3-456F272F8C86}" name="titik"/>
    <tableColumn id="2" xr3:uid="{DDC94647-2335-4052-AA54-D2B5494ACDB1}" name="Column1"/>
    <tableColumn id="3" xr3:uid="{E9C833BD-860B-44B8-9728-2F850E73A03A}" name="Column2"/>
    <tableColumn id="4" xr3:uid="{58728597-04DA-494A-BE07-65E158A64F44}" name="hasil2">
      <calculatedColumnFormula>SQRT(C16)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A384D83-1C08-4FDD-A471-C6E437680907}" name="Table8" displayName="Table8" ref="G15:J23" totalsRowCount="1">
  <autoFilter ref="G15:J22" xr:uid="{8A384D83-1C08-4FDD-A471-C6E437680907}"/>
  <tableColumns count="4">
    <tableColumn id="1" xr3:uid="{CC14C7CA-651A-4E6E-B03C-A84BF5B54393}" name="titik" totalsRowLabel="3,1"/>
    <tableColumn id="2" xr3:uid="{8684DAEE-0388-49D4-977B-E73062A17217}" name="Column1" totalsRowFunction="custom">
      <totalsRowFormula>H5</totalsRowFormula>
    </tableColumn>
    <tableColumn id="3" xr3:uid="{5A0FEF1F-DB79-477D-8233-31E8F57F5069}" name="Column2"/>
    <tableColumn id="4" xr3:uid="{7625DCB6-5A62-4CDD-99EB-DF2D7D462C50}" name="hasil" totalsRowFunction="custom">
      <calculatedColumnFormula>SQRT(H16)</calculatedColumnFormula>
      <totalsRowFormula>E16</totalsRow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328FC4D-1D47-4BDE-B299-16278623CB27}" name="Table9" displayName="Table9" ref="L15:O22" totalsRowCount="1">
  <autoFilter ref="L15:O21" xr:uid="{6328FC4D-1D47-4BDE-B299-16278623CB27}"/>
  <tableColumns count="4">
    <tableColumn id="1" xr3:uid="{DB2BA463-C20D-4A84-85F9-292861262678}" name="titik" totalsRowLabel="3,1"/>
    <tableColumn id="2" xr3:uid="{E7C368B4-9817-405A-8A56-A973B41C0A53}" name="Column1"/>
    <tableColumn id="3" xr3:uid="{F95C65BB-F61B-4B97-AEAB-06B24195D4C8}" name="Column2"/>
    <tableColumn id="4" xr3:uid="{3BF2D2DC-9B4B-4284-AF58-E6BAD2C0CCB3}" name="hasil" totalsRowFunction="custom">
      <calculatedColumnFormula>SQRT(M16)</calculatedColumnFormula>
      <totalsRowFormula>J6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2F969C-7842-49EE-B92F-8C40484486C1}" name="Table6" displayName="Table6" ref="Q15:T21" totalsRowCount="1">
  <autoFilter ref="Q15:T20" xr:uid="{232F969C-7842-49EE-B92F-8C40484486C1}"/>
  <tableColumns count="4">
    <tableColumn id="1" xr3:uid="{94997683-682B-446E-9789-F56D742E1070}" name="titik" totalsRowLabel="1"/>
    <tableColumn id="2" xr3:uid="{52ECCF1F-42E4-4C15-BFBE-B82734F6319F}" name="Column1"/>
    <tableColumn id="3" xr3:uid="{E940B36E-D4E5-4B27-8D68-C2B150B218A6}" name="Column2"/>
    <tableColumn id="4" xr3:uid="{AC450E35-6056-4AA1-9B98-0B850832B608}" name="hasil" totalsRowFunction="custom">
      <calculatedColumnFormula>SQRT(R16)</calculatedColumnFormula>
      <totalsRowFormula>J7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3A05548-8839-46B8-8A3F-B4529AAD7FF0}" name="Table7" displayName="Table7" ref="B26:E31" totalsRowCount="1">
  <autoFilter ref="B26:E30" xr:uid="{23A05548-8839-46B8-8A3F-B4529AAD7FF0}"/>
  <tableColumns count="4">
    <tableColumn id="1" xr3:uid="{02F1A736-EA94-4D24-BEED-1C6F0F458DC2}" name="titik" totalsRowLabel="1"/>
    <tableColumn id="2" xr3:uid="{B2D05EA1-00F3-454A-926F-BDEF9E7E2C22}" name="Column1"/>
    <tableColumn id="3" xr3:uid="{087B146C-B3E6-43F9-A64D-359EFB8FC61A}" name="Column2"/>
    <tableColumn id="4" xr3:uid="{38D1EF6D-F973-4798-AB13-D4A56B390A30}" name="Column3" totalsRowFunction="custom">
      <calculatedColumnFormula>SQRT(C27)</calculatedColumnFormula>
      <totalsRowFormula>J8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3A214D6-48EF-4926-B96A-DAE1A14D7128}" name="Table10" displayName="Table10" ref="G26:J30" totalsRowCount="1">
  <autoFilter ref="G26:J29" xr:uid="{D3A214D6-48EF-4926-B96A-DAE1A14D7128}"/>
  <tableColumns count="4">
    <tableColumn id="1" xr3:uid="{34AB8D80-4B67-4423-940D-7500E9555A82}" name="titik" totalsRowLabel="1"/>
    <tableColumn id="2" xr3:uid="{3B62271A-7482-4379-A6A6-DCF605C94C5B}" name="Column1"/>
    <tableColumn id="3" xr3:uid="{D6C9DCCF-1768-44D4-B1DC-73E25A02E5EB}" name="Column2"/>
    <tableColumn id="4" xr3:uid="{0AD14BEF-CC0F-46D2-80AA-ACDF09D17F01}" name="hasil" totalsRowFunction="custom">
      <calculatedColumnFormula>SQRT(H27)</calculatedColumnFormula>
      <totalsRowFormula>J9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FD9B0AB-7CD0-4B9A-BAC1-A172F5DCD4C9}" name="Table11" displayName="Table11" ref="L26:O29" totalsRowCount="1">
  <autoFilter ref="L26:O28" xr:uid="{8FD9B0AB-7CD0-4B9A-BAC1-A172F5DCD4C9}"/>
  <tableColumns count="4">
    <tableColumn id="1" xr3:uid="{D7E57827-7C58-4D18-B897-8037F606C9FD}" name="titik" totalsRowLabel="1"/>
    <tableColumn id="2" xr3:uid="{DF40F275-885A-4911-9898-F0EB0190265C}" name="Column1">
      <calculatedColumnFormula array="1">EuclideanDistance(C11,D11,C10,D10)</calculatedColumnFormula>
    </tableColumn>
    <tableColumn id="3" xr3:uid="{4E9ACC1A-453A-43FD-ADAD-FA1084E60F35}" name="Column2"/>
    <tableColumn id="4" xr3:uid="{27782C96-7E05-4230-9D50-FB35C7CF999E}" name="hasil" totalsRowFunction="custom" dataDxfId="1" totalsRowDxfId="0">
      <calculatedColumnFormula>SQRT(Table11[[#This Row],[Column1]])</calculatedColumnFormula>
      <totalsRowFormula>J10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126571E-AB45-41D0-A494-CFBB56039C11}" name="Table12" displayName="Table12" ref="Q26:T28" totalsRowCount="1">
  <autoFilter ref="Q26:T27" xr:uid="{5126571E-AB45-41D0-A494-CFBB56039C11}"/>
  <tableColumns count="4">
    <tableColumn id="1" xr3:uid="{AA42B701-CC86-49EE-A354-9937F15D204B}" name="titik"/>
    <tableColumn id="2" xr3:uid="{682F2152-BC41-467F-B832-AF626C3B9406}" name="Column1">
      <calculatedColumnFormula array="1">EuclideanDistance(C12,D12,C11,D11)</calculatedColumnFormula>
    </tableColumn>
    <tableColumn id="3" xr3:uid="{D0FC5737-74DE-4115-8C78-BFDB494F278A}" name="Column2"/>
    <tableColumn id="4" xr3:uid="{0F0B4D95-3C85-4D7C-9FFE-6C5E6E6D2923}" name="hasil" totalsRowFunction="custom">
      <calculatedColumnFormula>SQRT(R27)</calculatedColumnFormula>
      <totalsRowFormula>J11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717A-4770-4C67-AA9C-42A29E1A9D66}">
  <sheetPr codeName="Sheet1"/>
  <dimension ref="B2:W35"/>
  <sheetViews>
    <sheetView topLeftCell="A16" zoomScale="85" zoomScaleNormal="70" workbookViewId="0">
      <selection activeCell="J21" sqref="J21"/>
    </sheetView>
  </sheetViews>
  <sheetFormatPr defaultRowHeight="14.4" x14ac:dyDescent="0.3"/>
  <cols>
    <col min="7" max="7" width="12.33203125" customWidth="1"/>
    <col min="8" max="8" width="16.77734375" customWidth="1"/>
    <col min="9" max="11" width="10.6640625" customWidth="1"/>
    <col min="14" max="14" width="17.5546875" customWidth="1"/>
    <col min="15" max="15" width="14.88671875" customWidth="1"/>
    <col min="17" max="17" width="12.109375" customWidth="1"/>
    <col min="18" max="18" width="18.5546875" customWidth="1"/>
    <col min="20" max="20" width="15.88671875" customWidth="1"/>
    <col min="21" max="21" width="8.88671875" customWidth="1"/>
    <col min="22" max="22" width="19" customWidth="1"/>
    <col min="23" max="23" width="14.5546875" customWidth="1"/>
    <col min="25" max="25" width="13.6640625" customWidth="1"/>
  </cols>
  <sheetData>
    <row r="2" spans="2:23" x14ac:dyDescent="0.3">
      <c r="B2" t="s">
        <v>0</v>
      </c>
      <c r="C2" t="s">
        <v>1</v>
      </c>
      <c r="D2" t="s">
        <v>2</v>
      </c>
      <c r="G2" t="s">
        <v>0</v>
      </c>
      <c r="H2" t="s">
        <v>4</v>
      </c>
      <c r="I2" t="s">
        <v>6</v>
      </c>
      <c r="J2" t="s">
        <v>9</v>
      </c>
    </row>
    <row r="3" spans="2:23" x14ac:dyDescent="0.3">
      <c r="B3">
        <v>1</v>
      </c>
      <c r="C3">
        <v>3</v>
      </c>
      <c r="D3">
        <v>4</v>
      </c>
      <c r="G3" t="s">
        <v>3</v>
      </c>
      <c r="N3" t="s">
        <v>18</v>
      </c>
      <c r="R3" t="s">
        <v>22</v>
      </c>
      <c r="V3" t="s">
        <v>24</v>
      </c>
    </row>
    <row r="4" spans="2:23" x14ac:dyDescent="0.3">
      <c r="B4">
        <v>2</v>
      </c>
      <c r="C4">
        <v>4</v>
      </c>
      <c r="D4">
        <v>6</v>
      </c>
      <c r="G4">
        <v>1.2</v>
      </c>
      <c r="H4">
        <f>SQRT((C4-C3)^2+(D4-D3)^2)</f>
        <v>2.2360679774997898</v>
      </c>
      <c r="J4">
        <f>SQRT(H4)</f>
        <v>1.4953487812212205</v>
      </c>
      <c r="M4">
        <v>1</v>
      </c>
      <c r="N4">
        <v>10</v>
      </c>
      <c r="O4">
        <f>SMALL(H4:H12,1)</f>
        <v>1.4142135623730951</v>
      </c>
      <c r="Q4">
        <v>1</v>
      </c>
      <c r="R4">
        <v>5.6</v>
      </c>
      <c r="S4">
        <f>SMALL(H16:H24,1)</f>
        <v>1</v>
      </c>
      <c r="U4">
        <v>1</v>
      </c>
      <c r="V4">
        <v>3</v>
      </c>
      <c r="W4">
        <f>SMALL(T16:T24,1)</f>
        <v>1</v>
      </c>
    </row>
    <row r="5" spans="2:23" x14ac:dyDescent="0.3">
      <c r="B5">
        <v>3</v>
      </c>
      <c r="C5">
        <v>6</v>
      </c>
      <c r="D5">
        <v>9</v>
      </c>
      <c r="G5">
        <v>1.3</v>
      </c>
      <c r="H5">
        <f>SQRT((C5-C3)^2+(D5-D3)^2)</f>
        <v>5.8309518948453007</v>
      </c>
      <c r="J5">
        <f>SQRT(H5)</f>
        <v>2.414736402766418</v>
      </c>
      <c r="M5">
        <v>2</v>
      </c>
      <c r="N5">
        <v>2</v>
      </c>
      <c r="O5">
        <f>SMALL(H4:H12,2)</f>
        <v>2.2360679774997898</v>
      </c>
      <c r="Q5">
        <v>2</v>
      </c>
      <c r="R5">
        <v>5.6</v>
      </c>
      <c r="S5">
        <f>SMALL(H16:H24,2)</f>
        <v>1</v>
      </c>
      <c r="U5">
        <v>2</v>
      </c>
      <c r="V5">
        <v>8.6</v>
      </c>
      <c r="W5">
        <f>SMALL(T16:T24,2)</f>
        <v>1.189207115002721</v>
      </c>
    </row>
    <row r="6" spans="2:23" x14ac:dyDescent="0.3">
      <c r="B6">
        <v>4</v>
      </c>
      <c r="C6">
        <v>7</v>
      </c>
      <c r="D6">
        <v>10</v>
      </c>
      <c r="G6">
        <v>1.4</v>
      </c>
      <c r="H6">
        <f>SQRT((C6-C3)^2+(D3-D6)^2)</f>
        <v>7.2111025509279782</v>
      </c>
      <c r="J6">
        <f t="shared" ref="J6:J12" si="0">SQRT(H6)</f>
        <v>2.6853496142826501</v>
      </c>
      <c r="M6">
        <v>3</v>
      </c>
      <c r="N6">
        <v>9</v>
      </c>
      <c r="O6">
        <f>SMALL(H4:H12,3)</f>
        <v>2.8284271247461903</v>
      </c>
      <c r="Q6">
        <v>3</v>
      </c>
      <c r="R6">
        <v>1</v>
      </c>
      <c r="S6">
        <f>SMALL(H16:H24,3)</f>
        <v>1.4142135623730951</v>
      </c>
      <c r="U6">
        <v>3</v>
      </c>
      <c r="V6">
        <v>6.8</v>
      </c>
      <c r="W6">
        <f>SMALL(T16:T24,3)</f>
        <v>1.189207115002721</v>
      </c>
    </row>
    <row r="7" spans="2:23" x14ac:dyDescent="0.3">
      <c r="B7">
        <v>5</v>
      </c>
      <c r="C7">
        <v>5</v>
      </c>
      <c r="D7">
        <v>9</v>
      </c>
      <c r="G7">
        <v>1.5</v>
      </c>
      <c r="H7">
        <f>SQRT((C7-C3)^2+(D7-D3)^2)</f>
        <v>5.3851648071345037</v>
      </c>
      <c r="J7">
        <f t="shared" si="0"/>
        <v>2.3205957871060838</v>
      </c>
    </row>
    <row r="8" spans="2:23" x14ac:dyDescent="0.3">
      <c r="B8">
        <v>6</v>
      </c>
      <c r="C8">
        <v>6</v>
      </c>
      <c r="D8">
        <v>10</v>
      </c>
      <c r="G8">
        <v>1.6</v>
      </c>
      <c r="H8">
        <f>SQRT((C8-C3)^2+(D8-D3)^2)</f>
        <v>6.7082039324993694</v>
      </c>
      <c r="J8">
        <f t="shared" si="0"/>
        <v>2.5900200641113513</v>
      </c>
      <c r="N8" t="s">
        <v>19</v>
      </c>
      <c r="R8" t="s">
        <v>23</v>
      </c>
      <c r="V8" t="s">
        <v>25</v>
      </c>
    </row>
    <row r="9" spans="2:23" x14ac:dyDescent="0.3">
      <c r="B9">
        <v>7</v>
      </c>
      <c r="C9">
        <v>7</v>
      </c>
      <c r="D9">
        <v>6</v>
      </c>
      <c r="G9">
        <v>1.7</v>
      </c>
      <c r="H9">
        <f>SQRT((C9-C3)^2+(D9-D3)^2)</f>
        <v>4.4721359549995796</v>
      </c>
      <c r="J9">
        <f t="shared" si="0"/>
        <v>2.1147425268811282</v>
      </c>
      <c r="M9">
        <v>1</v>
      </c>
      <c r="N9">
        <v>9</v>
      </c>
      <c r="O9">
        <f>SMALL(C16:C24,1)</f>
        <v>1</v>
      </c>
      <c r="Q9">
        <v>1</v>
      </c>
      <c r="R9">
        <v>6</v>
      </c>
      <c r="U9">
        <v>1</v>
      </c>
      <c r="V9">
        <v>3.4</v>
      </c>
      <c r="W9">
        <f>SMALL(E27:E35,1)</f>
        <v>1</v>
      </c>
    </row>
    <row r="10" spans="2:23" x14ac:dyDescent="0.3">
      <c r="B10">
        <v>8</v>
      </c>
      <c r="C10">
        <v>4</v>
      </c>
      <c r="D10">
        <v>8</v>
      </c>
      <c r="G10">
        <v>1.8</v>
      </c>
      <c r="H10">
        <f>SQRT((C10-C3)^2+(D10-D3)^2)</f>
        <v>4.1231056256176606</v>
      </c>
      <c r="J10">
        <f t="shared" si="0"/>
        <v>2.0305431848689306</v>
      </c>
      <c r="M10">
        <v>2</v>
      </c>
      <c r="N10">
        <v>2</v>
      </c>
      <c r="O10">
        <f>SMALL(C16:C24,2)</f>
        <v>2</v>
      </c>
      <c r="Q10">
        <v>2</v>
      </c>
      <c r="R10">
        <v>3</v>
      </c>
      <c r="S10">
        <f>SMALL(O16:O24,2)</f>
        <v>1.189207115002721</v>
      </c>
      <c r="U10">
        <v>2</v>
      </c>
      <c r="V10">
        <v>3.4</v>
      </c>
      <c r="W10">
        <f>SMALL(E27:E35,2)</f>
        <v>1</v>
      </c>
    </row>
    <row r="11" spans="2:23" x14ac:dyDescent="0.3">
      <c r="B11">
        <v>9</v>
      </c>
      <c r="C11">
        <v>5</v>
      </c>
      <c r="D11">
        <v>6</v>
      </c>
      <c r="G11">
        <v>1.9</v>
      </c>
      <c r="H11">
        <f>SQRT((C11-C3)^2+(D11-D3)^2)</f>
        <v>2.8284271247461903</v>
      </c>
      <c r="J11">
        <f t="shared" si="0"/>
        <v>1.6817928305074292</v>
      </c>
      <c r="M11">
        <v>3</v>
      </c>
      <c r="N11">
        <v>1</v>
      </c>
      <c r="O11">
        <f>SMALL(C16:C24,3)</f>
        <v>2.2360679774997898</v>
      </c>
      <c r="Q11">
        <v>3</v>
      </c>
      <c r="R11">
        <v>5</v>
      </c>
      <c r="S11">
        <f>SMALL(O16:O24,3)</f>
        <v>1.4953487812212205</v>
      </c>
      <c r="U11">
        <v>3</v>
      </c>
      <c r="V11">
        <v>5</v>
      </c>
      <c r="W11">
        <f>SMALL(E27:E35,3)</f>
        <v>1.189207115002721</v>
      </c>
    </row>
    <row r="12" spans="2:23" x14ac:dyDescent="0.3">
      <c r="B12">
        <v>10</v>
      </c>
      <c r="C12">
        <v>4</v>
      </c>
      <c r="D12">
        <v>3</v>
      </c>
      <c r="G12" s="1" t="s">
        <v>11</v>
      </c>
      <c r="H12">
        <f>SQRT((C12-C3)^2+(D12-D3)^2)</f>
        <v>1.4142135623730951</v>
      </c>
      <c r="J12">
        <f t="shared" si="0"/>
        <v>1.189207115002721</v>
      </c>
    </row>
    <row r="15" spans="2:23" x14ac:dyDescent="0.3">
      <c r="B15" t="s">
        <v>0</v>
      </c>
      <c r="C15" t="s">
        <v>4</v>
      </c>
      <c r="D15" t="s">
        <v>5</v>
      </c>
      <c r="E15" t="s">
        <v>9</v>
      </c>
      <c r="G15" t="s">
        <v>0</v>
      </c>
      <c r="H15" t="s">
        <v>4</v>
      </c>
      <c r="I15" t="s">
        <v>5</v>
      </c>
      <c r="J15" t="s">
        <v>8</v>
      </c>
      <c r="L15" t="s">
        <v>0</v>
      </c>
      <c r="M15" t="s">
        <v>4</v>
      </c>
      <c r="N15" t="s">
        <v>5</v>
      </c>
      <c r="O15" t="s">
        <v>8</v>
      </c>
      <c r="Q15" t="s">
        <v>0</v>
      </c>
      <c r="R15" t="s">
        <v>4</v>
      </c>
      <c r="S15" t="s">
        <v>5</v>
      </c>
      <c r="T15" t="s">
        <v>8</v>
      </c>
    </row>
    <row r="16" spans="2:23" x14ac:dyDescent="0.3">
      <c r="B16">
        <v>2.2999999999999998</v>
      </c>
      <c r="C16">
        <f>SQRT((C5-C4)^2+(D5-D4)^2)</f>
        <v>3.6055512754639891</v>
      </c>
      <c r="E16">
        <f>SQRT(C16)</f>
        <v>1.8988289221159418</v>
      </c>
      <c r="G16">
        <v>3.4</v>
      </c>
      <c r="H16">
        <f>SQRT((C6-C5)^2+(D6-D5)^2)</f>
        <v>1.4142135623730951</v>
      </c>
      <c r="J16">
        <f t="shared" ref="J16:J22" si="1">SQRT(H16)</f>
        <v>1.189207115002721</v>
      </c>
      <c r="L16">
        <v>4.5</v>
      </c>
      <c r="M16">
        <f>SQRT((C7-C6)^2+(D7-D6)^2)</f>
        <v>2.2360679774997898</v>
      </c>
      <c r="O16">
        <f>SQRT(M16)</f>
        <v>1.4953487812212205</v>
      </c>
      <c r="Q16">
        <v>5.6</v>
      </c>
      <c r="R16">
        <f>SQRT((C8-C7)^2+(D8-D7)^2)</f>
        <v>1.4142135623730951</v>
      </c>
      <c r="T16">
        <f>SQRT(R16)</f>
        <v>1.189207115002721</v>
      </c>
    </row>
    <row r="17" spans="2:20" x14ac:dyDescent="0.3">
      <c r="B17">
        <v>2.4</v>
      </c>
      <c r="C17">
        <f>SQRT((C6-C4)^2+(D6-D4)^2)</f>
        <v>5</v>
      </c>
      <c r="E17">
        <f>SQRT(C17)</f>
        <v>2.2360679774997898</v>
      </c>
      <c r="G17">
        <v>3.5</v>
      </c>
      <c r="H17">
        <f>SQRT((C7-C5)^2+(D7-D5)^2)</f>
        <v>1</v>
      </c>
      <c r="J17">
        <f t="shared" si="1"/>
        <v>1</v>
      </c>
      <c r="L17">
        <v>4.5999999999999996</v>
      </c>
      <c r="M17">
        <f>SQRT((C8-C6)^2+(D8-D6)^2)</f>
        <v>1</v>
      </c>
      <c r="O17">
        <f t="shared" ref="O17:O21" si="2">SQRT(M17)</f>
        <v>1</v>
      </c>
      <c r="Q17">
        <v>5.7</v>
      </c>
      <c r="R17">
        <f>SQRT((C9-C7)^2+(D9-D7)^2)</f>
        <v>3.6055512754639891</v>
      </c>
      <c r="T17">
        <f t="shared" ref="T17:T20" si="3">SQRT(R17)</f>
        <v>1.8988289221159418</v>
      </c>
    </row>
    <row r="18" spans="2:20" x14ac:dyDescent="0.3">
      <c r="B18">
        <v>2.5</v>
      </c>
      <c r="C18">
        <f>SQRT((C7-C4)^2+(D7-D4)^2)</f>
        <v>3.1622776601683795</v>
      </c>
      <c r="E18">
        <f t="shared" ref="E18:E22" si="4">SQRT(C18)</f>
        <v>1.7782794100389228</v>
      </c>
      <c r="G18">
        <v>3.6</v>
      </c>
      <c r="H18">
        <f>SQRT((C8-C5)^2+(D8-D5)^2)</f>
        <v>1</v>
      </c>
      <c r="J18">
        <f t="shared" si="1"/>
        <v>1</v>
      </c>
      <c r="L18">
        <v>4.7</v>
      </c>
      <c r="M18">
        <f>SQRT((C9-C6)^2+(D9-D6)^2)</f>
        <v>4</v>
      </c>
      <c r="O18">
        <f t="shared" si="2"/>
        <v>2</v>
      </c>
      <c r="Q18">
        <v>5.8</v>
      </c>
      <c r="R18">
        <f>SQRT((C10-C7)^2+(D10-D7)^2)</f>
        <v>1.4142135623730951</v>
      </c>
      <c r="T18">
        <f t="shared" si="3"/>
        <v>1.189207115002721</v>
      </c>
    </row>
    <row r="19" spans="2:20" x14ac:dyDescent="0.3">
      <c r="B19">
        <v>2.6</v>
      </c>
      <c r="C19">
        <f>SQRT((C8-C4)^2+(D8-D4)^2)</f>
        <v>4.4721359549995796</v>
      </c>
      <c r="E19">
        <f t="shared" si="4"/>
        <v>2.1147425268811282</v>
      </c>
      <c r="G19">
        <v>3.7</v>
      </c>
      <c r="H19">
        <f>SQRT((C9-C5)^2+(D9-D5)^2)</f>
        <v>3.1622776601683795</v>
      </c>
      <c r="J19">
        <f t="shared" si="1"/>
        <v>1.7782794100389228</v>
      </c>
      <c r="L19">
        <v>4.8</v>
      </c>
      <c r="M19">
        <f>SQRT((C10-C6)^2+(D10-D6)^2)</f>
        <v>3.6055512754639891</v>
      </c>
      <c r="O19">
        <f t="shared" si="2"/>
        <v>1.8988289221159418</v>
      </c>
      <c r="Q19">
        <v>5.9</v>
      </c>
      <c r="R19">
        <f>SQRT((C11-C7)^2+(D11-D7)^2)</f>
        <v>3</v>
      </c>
      <c r="T19">
        <f t="shared" si="3"/>
        <v>1.7320508075688772</v>
      </c>
    </row>
    <row r="20" spans="2:20" x14ac:dyDescent="0.3">
      <c r="B20">
        <v>2.7</v>
      </c>
      <c r="C20">
        <f>SQRT((C9-C4)^2+(D9-D4)^2)</f>
        <v>3</v>
      </c>
      <c r="E20">
        <f t="shared" si="4"/>
        <v>1.7320508075688772</v>
      </c>
      <c r="G20">
        <v>3.8</v>
      </c>
      <c r="H20">
        <f>SQRT((C10-C5)^2+(D10-D5)^2)</f>
        <v>2.2360679774997898</v>
      </c>
      <c r="J20">
        <f>SQRT(H20)</f>
        <v>1.4953487812212205</v>
      </c>
      <c r="L20">
        <v>4.9000000000000004</v>
      </c>
      <c r="M20">
        <f>SQRT((C11-C6)^2+(D11-D6)^2)</f>
        <v>4.4721359549995796</v>
      </c>
      <c r="O20">
        <f t="shared" si="2"/>
        <v>2.1147425268811282</v>
      </c>
      <c r="Q20" t="s">
        <v>14</v>
      </c>
      <c r="R20">
        <f>SQRT((C12-C7)^2+(D12-D7)^2)</f>
        <v>6.0827625302982193</v>
      </c>
      <c r="T20">
        <f t="shared" si="3"/>
        <v>2.4663257145596602</v>
      </c>
    </row>
    <row r="21" spans="2:20" x14ac:dyDescent="0.3">
      <c r="B21">
        <v>2.8</v>
      </c>
      <c r="C21">
        <f>SQRT((C10-C4)^2+(D10-D4)^2)</f>
        <v>2</v>
      </c>
      <c r="E21">
        <f t="shared" si="4"/>
        <v>1.4142135623730951</v>
      </c>
      <c r="G21">
        <v>3.9</v>
      </c>
      <c r="H21">
        <f>SQRT((C11-C5)^2+(D11-D5)^2)</f>
        <v>3.1622776601683795</v>
      </c>
      <c r="J21">
        <f t="shared" si="1"/>
        <v>1.7782794100389228</v>
      </c>
      <c r="L21" t="s">
        <v>12</v>
      </c>
      <c r="M21">
        <f>SQRT((C12-C6)^2+(D12-D6)^2)</f>
        <v>7.6157731058639087</v>
      </c>
      <c r="O21">
        <f t="shared" si="2"/>
        <v>2.7596690210718946</v>
      </c>
      <c r="Q21" t="s">
        <v>21</v>
      </c>
      <c r="T21">
        <f>J7</f>
        <v>2.3205957871060838</v>
      </c>
    </row>
    <row r="22" spans="2:20" x14ac:dyDescent="0.3">
      <c r="B22">
        <v>2.9</v>
      </c>
      <c r="C22">
        <f>SQRT((C11-C4)^2+(D11-D4)^2)</f>
        <v>1</v>
      </c>
      <c r="E22">
        <f t="shared" si="4"/>
        <v>1</v>
      </c>
      <c r="G22" s="1" t="s">
        <v>7</v>
      </c>
      <c r="H22">
        <f>SQRT((C12-C5)^2+(D12-D5)^2)</f>
        <v>6.324555320336759</v>
      </c>
      <c r="J22">
        <f t="shared" si="1"/>
        <v>2.514866859365871</v>
      </c>
      <c r="L22" t="s">
        <v>20</v>
      </c>
      <c r="O22">
        <f>J6</f>
        <v>2.6853496142826501</v>
      </c>
      <c r="Q22">
        <v>2</v>
      </c>
      <c r="T22">
        <f>E18</f>
        <v>1.7782794100389228</v>
      </c>
    </row>
    <row r="23" spans="2:20" x14ac:dyDescent="0.3">
      <c r="B23" s="1" t="s">
        <v>10</v>
      </c>
      <c r="C23">
        <f>SQRT((C12-C4)^2+(D12-D4)^2)</f>
        <v>3</v>
      </c>
      <c r="E23">
        <f>SQRT(C23)</f>
        <v>1.7320508075688772</v>
      </c>
      <c r="G23" t="s">
        <v>20</v>
      </c>
      <c r="H23">
        <f>H5</f>
        <v>5.8309518948453007</v>
      </c>
      <c r="J23">
        <f>E16</f>
        <v>1.8988289221159418</v>
      </c>
      <c r="L23">
        <v>3.2</v>
      </c>
      <c r="O23">
        <f>E17</f>
        <v>2.2360679774997898</v>
      </c>
      <c r="Q23">
        <v>3</v>
      </c>
      <c r="T23">
        <f>J17</f>
        <v>1</v>
      </c>
    </row>
    <row r="24" spans="2:20" x14ac:dyDescent="0.3">
      <c r="B24">
        <v>2.1</v>
      </c>
      <c r="C24">
        <f>H4</f>
        <v>2.2360679774997898</v>
      </c>
      <c r="E24">
        <f>SQRT(H4)</f>
        <v>1.4953487812212205</v>
      </c>
      <c r="G24">
        <v>3.2</v>
      </c>
      <c r="H24">
        <f>C16</f>
        <v>3.6055512754639891</v>
      </c>
      <c r="J24">
        <f>J5</f>
        <v>2.414736402766418</v>
      </c>
      <c r="L24">
        <v>3.4</v>
      </c>
      <c r="O24">
        <f>J16</f>
        <v>1.189207115002721</v>
      </c>
      <c r="Q24">
        <v>4</v>
      </c>
      <c r="T24">
        <f>O16</f>
        <v>1.4953487812212205</v>
      </c>
    </row>
    <row r="26" spans="2:20" x14ac:dyDescent="0.3">
      <c r="B26" t="s">
        <v>0</v>
      </c>
      <c r="C26" t="s">
        <v>4</v>
      </c>
      <c r="D26" t="s">
        <v>5</v>
      </c>
      <c r="E26" t="s">
        <v>6</v>
      </c>
      <c r="G26" t="s">
        <v>0</v>
      </c>
      <c r="H26" t="s">
        <v>4</v>
      </c>
      <c r="I26" t="s">
        <v>5</v>
      </c>
      <c r="J26" t="s">
        <v>8</v>
      </c>
      <c r="L26" t="s">
        <v>0</v>
      </c>
      <c r="M26" t="s">
        <v>4</v>
      </c>
      <c r="N26" t="s">
        <v>5</v>
      </c>
      <c r="O26" t="s">
        <v>8</v>
      </c>
      <c r="Q26" t="s">
        <v>0</v>
      </c>
      <c r="R26" t="s">
        <v>4</v>
      </c>
      <c r="S26" t="s">
        <v>5</v>
      </c>
      <c r="T26" t="s">
        <v>8</v>
      </c>
    </row>
    <row r="27" spans="2:20" x14ac:dyDescent="0.3">
      <c r="B27">
        <v>6.7</v>
      </c>
      <c r="C27">
        <f>SQRT((C9-C8)^2+(D9-D8)^2)</f>
        <v>4.1231056256176606</v>
      </c>
      <c r="E27">
        <f>SQRT(C27)</f>
        <v>2.0305431848689306</v>
      </c>
      <c r="G27">
        <v>7.8</v>
      </c>
      <c r="H27" cm="1">
        <f t="array" ref="H27">EuclideanDistance(C10,D10,C9,D9)</f>
        <v>3.6055512754639891</v>
      </c>
      <c r="J27">
        <f>SQRT(H27)</f>
        <v>1.8988289221159418</v>
      </c>
      <c r="L27">
        <v>8.9</v>
      </c>
      <c r="M27" cm="1">
        <f t="array" ref="M27">EuclideanDistance(C11,D11,C10,D10)</f>
        <v>2.2360679774997898</v>
      </c>
      <c r="O27">
        <f>SQRT(Table11[[#This Row],[Column1]])</f>
        <v>1.4953487812212205</v>
      </c>
      <c r="Q27" t="s">
        <v>17</v>
      </c>
      <c r="R27" cm="1">
        <f t="array" ref="R27">EuclideanDistance(C12,D12,C11,D11)</f>
        <v>3.1622776601683795</v>
      </c>
      <c r="T27">
        <f>SQRT(R27)</f>
        <v>1.7782794100389228</v>
      </c>
    </row>
    <row r="28" spans="2:20" x14ac:dyDescent="0.3">
      <c r="B28">
        <v>6.8</v>
      </c>
      <c r="C28">
        <f>SQRT((C10-C8)^2+(D10-D8)^2)</f>
        <v>2.8284271247461903</v>
      </c>
      <c r="E28">
        <f t="shared" ref="E28:E30" si="5">SQRT(C28)</f>
        <v>1.6817928305074292</v>
      </c>
      <c r="G28">
        <v>7.9</v>
      </c>
      <c r="H28" cm="1">
        <f t="array" ref="H28">EuclideanDistance(C11,D11,C9,D9)</f>
        <v>2</v>
      </c>
      <c r="J28">
        <f t="shared" ref="J28:J29" si="6">SQRT(H28)</f>
        <v>1.4142135623730951</v>
      </c>
      <c r="L28" t="s">
        <v>16</v>
      </c>
      <c r="M28" cm="1">
        <f t="array" ref="M28">EuclideanDistance(C12,D12,C11,D11)</f>
        <v>3.1622776601683795</v>
      </c>
      <c r="O28">
        <f>SQRT(Table11[[#This Row],[Column1]])</f>
        <v>1.7782794100389228</v>
      </c>
      <c r="T28">
        <f>J11</f>
        <v>1.6817928305074292</v>
      </c>
    </row>
    <row r="29" spans="2:20" x14ac:dyDescent="0.3">
      <c r="B29">
        <v>6.9</v>
      </c>
      <c r="C29">
        <f>SQRT((C11-C8)^2+(D11-D8)^2)</f>
        <v>4.1231056256176606</v>
      </c>
      <c r="E29">
        <f t="shared" si="5"/>
        <v>2.0305431848689306</v>
      </c>
      <c r="G29" t="s">
        <v>15</v>
      </c>
      <c r="H29" cm="1">
        <f t="array" ref="H29">EuclideanDistance(C12,D12,C9,D9)</f>
        <v>4.2426406871192848</v>
      </c>
      <c r="J29">
        <f t="shared" si="6"/>
        <v>2.0597671439071177</v>
      </c>
      <c r="L29" t="s">
        <v>21</v>
      </c>
      <c r="O29">
        <f>J10</f>
        <v>2.0305431848689306</v>
      </c>
      <c r="T29">
        <f>E22</f>
        <v>1</v>
      </c>
    </row>
    <row r="30" spans="2:20" x14ac:dyDescent="0.3">
      <c r="B30" t="s">
        <v>13</v>
      </c>
      <c r="C30">
        <f>SQRT((C12-C8)^2+(D12-D8)^2)</f>
        <v>7.2801098892805181</v>
      </c>
      <c r="E30">
        <f t="shared" si="5"/>
        <v>2.6981678764080854</v>
      </c>
      <c r="G30" t="s">
        <v>21</v>
      </c>
      <c r="J30">
        <f>J9</f>
        <v>2.1147425268811282</v>
      </c>
      <c r="L30">
        <v>2</v>
      </c>
      <c r="O30">
        <f>E21</f>
        <v>1.4142135623730951</v>
      </c>
      <c r="T30">
        <f>J21</f>
        <v>1.7782794100389228</v>
      </c>
    </row>
    <row r="31" spans="2:20" x14ac:dyDescent="0.3">
      <c r="B31" t="s">
        <v>21</v>
      </c>
      <c r="E31">
        <f>J8</f>
        <v>2.5900200641113513</v>
      </c>
      <c r="G31">
        <v>2</v>
      </c>
      <c r="J31">
        <f>E20</f>
        <v>1.7320508075688772</v>
      </c>
      <c r="L31">
        <v>3</v>
      </c>
      <c r="O31">
        <f>J20</f>
        <v>1.4953487812212205</v>
      </c>
      <c r="T31">
        <f>O20</f>
        <v>2.1147425268811282</v>
      </c>
    </row>
    <row r="32" spans="2:20" x14ac:dyDescent="0.3">
      <c r="B32">
        <v>2</v>
      </c>
      <c r="E32">
        <f>E19</f>
        <v>2.1147425268811282</v>
      </c>
      <c r="G32">
        <v>3</v>
      </c>
      <c r="J32">
        <f>J19</f>
        <v>1.7782794100389228</v>
      </c>
      <c r="L32">
        <v>4</v>
      </c>
      <c r="O32">
        <f>O19</f>
        <v>1.8988289221159418</v>
      </c>
      <c r="T32">
        <f>T19</f>
        <v>1.7320508075688772</v>
      </c>
    </row>
    <row r="33" spans="2:20" x14ac:dyDescent="0.3">
      <c r="B33">
        <v>3</v>
      </c>
      <c r="E33">
        <f>J18</f>
        <v>1</v>
      </c>
      <c r="G33">
        <v>4</v>
      </c>
      <c r="J33">
        <f>O18</f>
        <v>2</v>
      </c>
      <c r="L33">
        <v>5</v>
      </c>
      <c r="O33">
        <f>T18</f>
        <v>1.189207115002721</v>
      </c>
      <c r="T33">
        <f>E29</f>
        <v>2.0305431848689306</v>
      </c>
    </row>
    <row r="34" spans="2:20" x14ac:dyDescent="0.3">
      <c r="B34">
        <v>4</v>
      </c>
      <c r="E34">
        <f>O17</f>
        <v>1</v>
      </c>
      <c r="G34">
        <v>5</v>
      </c>
      <c r="J34">
        <f>T17</f>
        <v>1.8988289221159418</v>
      </c>
      <c r="L34">
        <v>6</v>
      </c>
      <c r="O34">
        <f>E28</f>
        <v>1.6817928305074292</v>
      </c>
      <c r="T34">
        <f>J28</f>
        <v>1.4142135623730951</v>
      </c>
    </row>
    <row r="35" spans="2:20" x14ac:dyDescent="0.3">
      <c r="B35">
        <v>5</v>
      </c>
      <c r="E35">
        <f>T16</f>
        <v>1.189207115002721</v>
      </c>
      <c r="G35">
        <v>6</v>
      </c>
      <c r="J35">
        <f>E27</f>
        <v>2.0305431848689306</v>
      </c>
      <c r="L35">
        <v>7</v>
      </c>
      <c r="O35">
        <f>J27</f>
        <v>1.8988289221159418</v>
      </c>
      <c r="T35">
        <f>O27</f>
        <v>1.4953487812212205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0BD-46CC-490B-8968-8A401FCC28C5}">
  <sheetPr codeName="Sheet2"/>
  <dimension ref="B2:O62"/>
  <sheetViews>
    <sheetView tabSelected="1" topLeftCell="A9" zoomScale="55" zoomScaleNormal="55" workbookViewId="0">
      <selection activeCell="I33" sqref="I33"/>
    </sheetView>
  </sheetViews>
  <sheetFormatPr defaultRowHeight="14.4" x14ac:dyDescent="0.3"/>
  <cols>
    <col min="3" max="3" width="18.77734375" customWidth="1"/>
    <col min="4" max="4" width="16.33203125" customWidth="1"/>
    <col min="5" max="5" width="16.109375" customWidth="1"/>
    <col min="6" max="6" width="13.77734375" customWidth="1"/>
    <col min="7" max="7" width="13" customWidth="1"/>
    <col min="8" max="8" width="14.77734375" customWidth="1"/>
    <col min="9" max="9" width="17.44140625" customWidth="1"/>
    <col min="10" max="10" width="18.109375" customWidth="1"/>
    <col min="11" max="11" width="19.88671875" customWidth="1"/>
    <col min="12" max="12" width="17.109375" customWidth="1"/>
  </cols>
  <sheetData>
    <row r="2" spans="2:15" x14ac:dyDescent="0.3">
      <c r="B2" s="2" t="s">
        <v>26</v>
      </c>
      <c r="C2" s="2" t="s">
        <v>27</v>
      </c>
      <c r="D2" s="2" t="s">
        <v>28</v>
      </c>
      <c r="F2" s="3" t="s">
        <v>0</v>
      </c>
      <c r="G2" s="3">
        <v>1</v>
      </c>
      <c r="H2" s="3" t="s">
        <v>29</v>
      </c>
      <c r="I2" s="3">
        <v>2</v>
      </c>
      <c r="J2" s="3" t="s">
        <v>29</v>
      </c>
      <c r="K2" s="3">
        <v>3</v>
      </c>
      <c r="L2" s="3" t="s">
        <v>29</v>
      </c>
      <c r="N2" s="4"/>
      <c r="O2">
        <v>3</v>
      </c>
    </row>
    <row r="3" spans="2:15" x14ac:dyDescent="0.3">
      <c r="B3" s="2">
        <v>1</v>
      </c>
      <c r="C3" s="2">
        <v>3</v>
      </c>
      <c r="D3" s="2">
        <v>5</v>
      </c>
      <c r="F3" s="3">
        <v>1</v>
      </c>
      <c r="G3" s="3">
        <v>9</v>
      </c>
      <c r="H3" s="46">
        <f>SMALL(D16:L16,1)</f>
        <v>1</v>
      </c>
      <c r="I3" s="3">
        <v>5</v>
      </c>
      <c r="J3" s="44">
        <f>SMALL(D16:L16,2)</f>
        <v>2</v>
      </c>
      <c r="K3" s="3">
        <v>8</v>
      </c>
      <c r="L3" s="45">
        <f>SMALL(D16:L16,3)</f>
        <v>2.2360679774997898</v>
      </c>
      <c r="N3" s="5"/>
      <c r="O3">
        <v>2</v>
      </c>
    </row>
    <row r="4" spans="2:15" x14ac:dyDescent="0.3">
      <c r="B4" s="2">
        <v>2</v>
      </c>
      <c r="C4" s="2">
        <v>4</v>
      </c>
      <c r="D4" s="2">
        <v>7</v>
      </c>
      <c r="F4" s="3">
        <v>2</v>
      </c>
      <c r="G4" s="3">
        <v>8</v>
      </c>
      <c r="H4" s="46">
        <f t="shared" ref="H4:H12" si="0">SMALL(C17:L17,1)</f>
        <v>1.4142135623730951</v>
      </c>
      <c r="I4" s="3">
        <v>9</v>
      </c>
      <c r="J4" s="44">
        <f t="shared" ref="J4:J11" si="1">SMALL(C17:L17,2)</f>
        <v>1.4142135623730951</v>
      </c>
      <c r="K4" s="3">
        <v>1</v>
      </c>
      <c r="L4" s="45">
        <f t="shared" ref="L4:L11" si="2">SMALL(C17:L17,3)</f>
        <v>2.2360679774997898</v>
      </c>
      <c r="N4" s="57"/>
      <c r="O4">
        <v>1</v>
      </c>
    </row>
    <row r="5" spans="2:15" x14ac:dyDescent="0.3">
      <c r="B5" s="2">
        <v>3</v>
      </c>
      <c r="C5" s="2">
        <v>2</v>
      </c>
      <c r="D5" s="2">
        <v>3</v>
      </c>
      <c r="F5" s="3">
        <v>3</v>
      </c>
      <c r="G5" s="3">
        <v>5</v>
      </c>
      <c r="H5" s="46">
        <f t="shared" si="0"/>
        <v>1</v>
      </c>
      <c r="I5" s="3">
        <v>1</v>
      </c>
      <c r="J5" s="44">
        <f t="shared" si="1"/>
        <v>2.2360679774997898</v>
      </c>
      <c r="K5" s="3">
        <v>4</v>
      </c>
      <c r="L5" s="45">
        <f t="shared" si="2"/>
        <v>3.1622776601683795</v>
      </c>
    </row>
    <row r="6" spans="2:15" x14ac:dyDescent="0.3">
      <c r="B6" s="2">
        <v>4</v>
      </c>
      <c r="C6" s="2">
        <v>5</v>
      </c>
      <c r="D6" s="2">
        <v>4</v>
      </c>
      <c r="F6" s="3">
        <v>4</v>
      </c>
      <c r="G6" s="3">
        <v>8</v>
      </c>
      <c r="H6" s="46">
        <f t="shared" si="0"/>
        <v>2</v>
      </c>
      <c r="I6" s="3">
        <v>5</v>
      </c>
      <c r="J6" s="44">
        <f t="shared" si="1"/>
        <v>2.2360679774997898</v>
      </c>
      <c r="K6" s="3">
        <v>7</v>
      </c>
      <c r="L6" s="45">
        <f t="shared" si="2"/>
        <v>2.2360679774997898</v>
      </c>
    </row>
    <row r="7" spans="2:15" x14ac:dyDescent="0.3">
      <c r="B7" s="2">
        <v>5</v>
      </c>
      <c r="C7" s="2">
        <v>3</v>
      </c>
      <c r="D7" s="2">
        <v>3</v>
      </c>
      <c r="F7" s="3">
        <v>5</v>
      </c>
      <c r="G7" s="3">
        <v>3</v>
      </c>
      <c r="H7" s="46">
        <f t="shared" si="0"/>
        <v>1</v>
      </c>
      <c r="I7" s="3">
        <v>1</v>
      </c>
      <c r="J7" s="44">
        <f t="shared" si="1"/>
        <v>2</v>
      </c>
      <c r="K7" s="3">
        <v>4</v>
      </c>
      <c r="L7" s="45">
        <f t="shared" si="2"/>
        <v>2.2360679774997898</v>
      </c>
    </row>
    <row r="8" spans="2:15" x14ac:dyDescent="0.3">
      <c r="B8" s="2">
        <v>6</v>
      </c>
      <c r="C8" s="2">
        <v>6</v>
      </c>
      <c r="D8" s="2">
        <v>2</v>
      </c>
      <c r="F8" s="3">
        <v>6</v>
      </c>
      <c r="G8" s="3">
        <v>4</v>
      </c>
      <c r="H8" s="46">
        <f t="shared" si="0"/>
        <v>2.2360679774997898</v>
      </c>
      <c r="I8" s="3">
        <v>5</v>
      </c>
      <c r="J8" s="44">
        <f t="shared" si="1"/>
        <v>3.1622776601683795</v>
      </c>
      <c r="K8" s="3">
        <v>7</v>
      </c>
      <c r="L8" s="45">
        <f t="shared" si="2"/>
        <v>3.1622776601683795</v>
      </c>
    </row>
    <row r="9" spans="2:15" x14ac:dyDescent="0.3">
      <c r="B9" s="2">
        <v>7</v>
      </c>
      <c r="C9" s="2">
        <v>7</v>
      </c>
      <c r="D9" s="2">
        <v>5</v>
      </c>
      <c r="F9" s="3">
        <v>7</v>
      </c>
      <c r="G9" s="3">
        <v>4</v>
      </c>
      <c r="H9" s="46">
        <f>SMALL(C22:L22,1)</f>
        <v>2.2360679774997898</v>
      </c>
      <c r="I9" s="3">
        <v>4</v>
      </c>
      <c r="J9" s="44">
        <f t="shared" si="1"/>
        <v>2.2360679774997898</v>
      </c>
      <c r="K9" s="3">
        <v>6</v>
      </c>
      <c r="L9" s="45">
        <f t="shared" si="2"/>
        <v>3.1622776601683795</v>
      </c>
    </row>
    <row r="10" spans="2:15" x14ac:dyDescent="0.3">
      <c r="B10" s="2">
        <v>8</v>
      </c>
      <c r="C10" s="2">
        <v>5</v>
      </c>
      <c r="D10" s="2">
        <v>6</v>
      </c>
      <c r="F10" s="3">
        <v>8</v>
      </c>
      <c r="G10" s="3">
        <v>2</v>
      </c>
      <c r="H10" s="46">
        <f t="shared" si="0"/>
        <v>1.4142135623730951</v>
      </c>
      <c r="I10" s="3">
        <v>4</v>
      </c>
      <c r="J10" s="44">
        <f t="shared" si="1"/>
        <v>2</v>
      </c>
      <c r="K10" s="3">
        <v>9</v>
      </c>
      <c r="L10" s="45">
        <f t="shared" si="2"/>
        <v>2</v>
      </c>
    </row>
    <row r="11" spans="2:15" x14ac:dyDescent="0.3">
      <c r="B11" s="2">
        <v>9</v>
      </c>
      <c r="C11" s="2">
        <v>3</v>
      </c>
      <c r="D11" s="2">
        <v>6</v>
      </c>
      <c r="F11" s="3">
        <v>9</v>
      </c>
      <c r="G11" s="3">
        <v>1</v>
      </c>
      <c r="H11" s="46">
        <f t="shared" si="0"/>
        <v>1</v>
      </c>
      <c r="I11" s="3">
        <v>2</v>
      </c>
      <c r="J11" s="44">
        <f t="shared" si="1"/>
        <v>1.4142135623730951</v>
      </c>
      <c r="K11" s="3">
        <v>2</v>
      </c>
      <c r="L11" s="45">
        <f t="shared" si="2"/>
        <v>2</v>
      </c>
    </row>
    <row r="12" spans="2:15" x14ac:dyDescent="0.3">
      <c r="B12" s="2">
        <v>10</v>
      </c>
      <c r="C12" s="2">
        <v>14</v>
      </c>
      <c r="D12" s="2">
        <v>18</v>
      </c>
      <c r="F12" s="3">
        <v>10</v>
      </c>
      <c r="G12" s="3">
        <v>7</v>
      </c>
      <c r="H12" s="46">
        <f t="shared" si="0"/>
        <v>14.7648230602334</v>
      </c>
      <c r="I12" s="3">
        <v>2</v>
      </c>
      <c r="J12" s="44">
        <f>SMALL(C25:K25,2)</f>
        <v>14.866068747318506</v>
      </c>
      <c r="K12" s="3">
        <v>8</v>
      </c>
      <c r="L12" s="45">
        <f>SMALL(C25:K25,3)</f>
        <v>15</v>
      </c>
      <c r="N12">
        <f>SMALL(C22:L22,1)</f>
        <v>2.2360679774997898</v>
      </c>
    </row>
    <row r="14" spans="2:15" x14ac:dyDescent="0.3">
      <c r="B14" s="6" t="s">
        <v>30</v>
      </c>
    </row>
    <row r="15" spans="2:15" x14ac:dyDescent="0.3">
      <c r="B15" s="7" t="s">
        <v>31</v>
      </c>
      <c r="C15" s="7">
        <v>1</v>
      </c>
      <c r="D15" s="7">
        <v>2</v>
      </c>
      <c r="E15" s="7">
        <v>3</v>
      </c>
      <c r="F15" s="7">
        <v>4</v>
      </c>
      <c r="G15" s="7">
        <v>5</v>
      </c>
      <c r="H15" s="7">
        <v>6</v>
      </c>
      <c r="I15" s="7">
        <v>7</v>
      </c>
      <c r="J15" s="7">
        <v>8</v>
      </c>
      <c r="K15" s="7">
        <v>9</v>
      </c>
      <c r="L15" s="7">
        <v>10</v>
      </c>
    </row>
    <row r="16" spans="2:15" x14ac:dyDescent="0.3">
      <c r="B16" s="8">
        <v>1</v>
      </c>
      <c r="C16" s="9">
        <f>SQRT((C3-C3)^2 + (D3-D3)^2)</f>
        <v>0</v>
      </c>
      <c r="D16" s="10">
        <f>SQRT((C4-C3)^2 + (D4-D3)^2)</f>
        <v>2.2360679774997898</v>
      </c>
      <c r="E16" s="9">
        <f>SQRT((C5-C3)^2 + (D5-D3)^2)</f>
        <v>2.2360679774997898</v>
      </c>
      <c r="F16" s="9">
        <f>SQRT((C6-C3)^2 + (D6-D3)^2)</f>
        <v>2.2360679774997898</v>
      </c>
      <c r="G16" s="11">
        <f>SQRT((C7-C3)^2 + (D7-D3)^2)</f>
        <v>2</v>
      </c>
      <c r="H16" s="9">
        <f>SQRT((C8-C3)^2 + (D8-D3)^2)</f>
        <v>4.2426406871192848</v>
      </c>
      <c r="I16" s="9">
        <f>SQRT((C9-C3)^2 + (D9-D3)^2)</f>
        <v>4</v>
      </c>
      <c r="J16" s="12">
        <f>SQRT((C10-C3)^2 + (D10-D3)^2)</f>
        <v>2.2360679774997898</v>
      </c>
      <c r="K16" s="47">
        <f>SQRT((C11-C3)^2 + (D11-D3)^2)</f>
        <v>1</v>
      </c>
      <c r="L16" s="9">
        <f>SQRT((C12-C3)^2 + (D12-D3)^2)</f>
        <v>17.029386365926403</v>
      </c>
    </row>
    <row r="17" spans="2:14" x14ac:dyDescent="0.3">
      <c r="B17" s="8">
        <v>2</v>
      </c>
      <c r="C17" s="12">
        <f>SQRT((C3-C4)^2 + (D3-D4)^2)</f>
        <v>2.2360679774997898</v>
      </c>
      <c r="D17" s="9"/>
      <c r="E17" s="10">
        <f>SQRT((C5-C4)^2 + (D5-D4)^2)</f>
        <v>4.4721359549995796</v>
      </c>
      <c r="F17" s="13">
        <f>SQRT((C6-C4)^2 + (D6-D4)^2)</f>
        <v>3.1622776601683795</v>
      </c>
      <c r="G17" s="9">
        <f>SQRT((C7-C4)^2 + (D7-D4)^2)</f>
        <v>4.1231056256176606</v>
      </c>
      <c r="H17" s="9">
        <f>SQRT((C8-C4)^2 + (D8-D4)^2)</f>
        <v>5.3851648071345037</v>
      </c>
      <c r="I17" s="9">
        <f>SQRT((C9-C4)^2 + (D9-D4)^2)</f>
        <v>3.6055512754639891</v>
      </c>
      <c r="J17" s="47">
        <f>SQRT((C10-C4)^2 + (D10-D4)^2)</f>
        <v>1.4142135623730951</v>
      </c>
      <c r="K17" s="11">
        <f>SQRT((C11-C4)^2 + (D11-D4)^2)</f>
        <v>1.4142135623730951</v>
      </c>
      <c r="L17" s="9">
        <f>SQRT((C12-C4)^2 + (D12-D4)^2)</f>
        <v>14.866068747318506</v>
      </c>
    </row>
    <row r="18" spans="2:14" x14ac:dyDescent="0.3">
      <c r="B18" s="8">
        <v>3</v>
      </c>
      <c r="C18" s="11">
        <f>SQRT((C5-C3)^2 + (D5-D3)^2)</f>
        <v>2.2360679774997898</v>
      </c>
      <c r="D18" s="14">
        <f>SQRT((C5-C4)^2 + (D5-D4)^2)</f>
        <v>4.4721359549995796</v>
      </c>
      <c r="E18" s="9"/>
      <c r="F18" s="12">
        <f>SQRT((C6-C5)^2 + (D6-D5)^2)</f>
        <v>3.1622776601683795</v>
      </c>
      <c r="G18" s="47">
        <f>SQRT((C7-C5)^2 + (D7-D5)^2)</f>
        <v>1</v>
      </c>
      <c r="H18" s="9">
        <f>SQRT((C8-C5)^2 + (D8-D5)^2)</f>
        <v>4.1231056256176606</v>
      </c>
      <c r="I18" s="15">
        <f>SQRT((C9-C5)^2 + (D9-D5)^2)</f>
        <v>5.3851648071345037</v>
      </c>
      <c r="J18" s="15">
        <f>SQRT((C10-C5)^2 + (D10-D5)^2)</f>
        <v>4.2426406871192848</v>
      </c>
      <c r="K18" s="15">
        <f>SQRT((C11-C5)^2 + (D11-D5)^2)</f>
        <v>3.1622776601683795</v>
      </c>
      <c r="L18" s="15">
        <f>SQRT((C12-C5)^2 + (D12-D5)^2)</f>
        <v>19.209372712298546</v>
      </c>
    </row>
    <row r="19" spans="2:14" x14ac:dyDescent="0.3">
      <c r="B19" s="8">
        <v>4</v>
      </c>
      <c r="C19" s="9">
        <f>SQRT((C6-C3)^2 + (D6-D3)^2)</f>
        <v>2.2360679774997898</v>
      </c>
      <c r="D19" s="15">
        <f>SQRT((C6-C4)^2 + (D6-D4)^2)</f>
        <v>3.1622776601683795</v>
      </c>
      <c r="E19" s="15">
        <f>SQRT((C6-C5)^2 + (D6-D5)^2)</f>
        <v>3.1622776601683795</v>
      </c>
      <c r="F19" s="9"/>
      <c r="G19" s="16">
        <f>SQRT((C6-C7)^2 + (D6-D7)^2)</f>
        <v>2.2360679774997898</v>
      </c>
      <c r="H19" s="9">
        <f>SQRT((C6-C8)^2 + (D6-D8)^2)</f>
        <v>2.2360679774997898</v>
      </c>
      <c r="I19" s="12">
        <f>SQRT((C6-C9)^2 + (D6-D9)^2)</f>
        <v>2.2360679774997898</v>
      </c>
      <c r="J19" s="47">
        <f>SQRT((C6-C10)^2 + (D6-D10)^2)</f>
        <v>2</v>
      </c>
      <c r="K19" s="15">
        <f>SQRT((C6-C11)^2 + (D6-D11)^2)</f>
        <v>2.8284271247461903</v>
      </c>
      <c r="L19" s="15">
        <f>SQRT((C6-C12)^2 + (D6-D12)^2)</f>
        <v>16.643316977093239</v>
      </c>
    </row>
    <row r="20" spans="2:14" x14ac:dyDescent="0.3">
      <c r="B20" s="8">
        <v>5</v>
      </c>
      <c r="C20" s="17">
        <f>SQRT((C7-C3)^2 + (D7-D3)^2)</f>
        <v>2</v>
      </c>
      <c r="D20" s="9">
        <f>SQRT((C7-C4)^2 + (D7-D4)^2)</f>
        <v>4.1231056256176606</v>
      </c>
      <c r="E20" s="47">
        <f>SQRT((C7-C5)^2 + (D7-D5)^2)</f>
        <v>1</v>
      </c>
      <c r="F20" s="12">
        <f>SQRT((C7-C6)^2 + (D7-D6)^2)</f>
        <v>2.2360679774997898</v>
      </c>
      <c r="G20" s="9"/>
      <c r="H20" s="15">
        <f>SQRT((C7-C8)^2 + (D7-D8)^2)</f>
        <v>3.1622776601683795</v>
      </c>
      <c r="I20" s="15">
        <f>SQRT((C7-C9)^2 + (D7-D9)^2)</f>
        <v>4.4721359549995796</v>
      </c>
      <c r="J20" s="15">
        <f>SQRT((C7-C10)^2 + (D7-D10)^2)</f>
        <v>3.6055512754639891</v>
      </c>
      <c r="K20" s="15">
        <f>SQRT((C7-C11)^2 + (D7-D11)^2)</f>
        <v>3</v>
      </c>
      <c r="L20" s="15">
        <f>SQRT((C7-C12)^2 + (D7-D12)^2)</f>
        <v>18.601075237738275</v>
      </c>
    </row>
    <row r="21" spans="2:14" x14ac:dyDescent="0.3">
      <c r="B21" s="8">
        <v>6</v>
      </c>
      <c r="C21" s="9">
        <f>SQRT((C8-C3)^2 + (D8-D3)^2)</f>
        <v>4.2426406871192848</v>
      </c>
      <c r="D21" s="15">
        <f>SQRT((C8-C4)^2 + (D8-D4)^2)</f>
        <v>5.3851648071345037</v>
      </c>
      <c r="E21" s="15">
        <f>SQRT((C8-C5)^2 + (D8-D5)^2)</f>
        <v>4.1231056256176606</v>
      </c>
      <c r="F21" s="48">
        <f>SQRT((C8-C6)^2 + (D8-D6)^2)</f>
        <v>2.2360679774997898</v>
      </c>
      <c r="G21" s="18">
        <f>SQRT((C8-C7)^2 + (D8-D7)^2)</f>
        <v>3.1622776601683795</v>
      </c>
      <c r="H21" s="9"/>
      <c r="I21" s="19">
        <f>SQRT((C8-C9)^2 + (D8-D9)^2)</f>
        <v>3.1622776601683795</v>
      </c>
      <c r="J21" s="15">
        <f>SQRT((C8-C10)^2 + (D8-D10)^2)</f>
        <v>4.1231056256176606</v>
      </c>
      <c r="K21" s="15">
        <f>SQRT((C8-C11)^2 + (D8-D11)^2)</f>
        <v>5</v>
      </c>
      <c r="L21" s="15">
        <f>SQRT((C8-C12)^2 + (D8-D12)^2)</f>
        <v>17.888543819998318</v>
      </c>
    </row>
    <row r="22" spans="2:14" x14ac:dyDescent="0.3">
      <c r="B22" s="8">
        <v>7</v>
      </c>
      <c r="C22" s="9">
        <f>SQRT((C9-C3)^2 + (D9-D3)^2)</f>
        <v>4</v>
      </c>
      <c r="D22" s="15">
        <f>SQRT((C9-C4)^2 + (D9-D4)^2)</f>
        <v>3.6055512754639891</v>
      </c>
      <c r="E22" s="9">
        <f>SQRT((C9-C5)^2 + (D9-D5)^2)</f>
        <v>5.3851648071345037</v>
      </c>
      <c r="F22" s="48">
        <f>SQRT((C9-C6)^2 + (D9-D6)^2)</f>
        <v>2.2360679774997898</v>
      </c>
      <c r="G22" s="15">
        <f>SQRT((C9-C7)^2 + (D9-D7)^2)</f>
        <v>4.4721359549995796</v>
      </c>
      <c r="H22" s="20">
        <f>SQRT((C9-C8)^2 + (D9-D8)^2)</f>
        <v>3.1622776601683795</v>
      </c>
      <c r="I22" s="9"/>
      <c r="J22" s="40">
        <f>SQRT((C9-C10)^2 + (D9-D10)^2)</f>
        <v>2.2360679774997898</v>
      </c>
      <c r="K22" s="15">
        <f>SQRT((C9-C11)^2 + (D9-D11)^2)</f>
        <v>4.1231056256176606</v>
      </c>
      <c r="L22" s="15">
        <f>SQRT((C9-C12)^2 + (D9-D12)^2)</f>
        <v>14.7648230602334</v>
      </c>
    </row>
    <row r="23" spans="2:14" x14ac:dyDescent="0.3">
      <c r="B23" s="8">
        <v>8</v>
      </c>
      <c r="C23" s="15">
        <f>SQRT((C10-C3)^2 + (D10-D3)^2)</f>
        <v>2.2360679774997898</v>
      </c>
      <c r="D23" s="47">
        <f>SQRT((C10-C4)^2 + (D10-D4)^2)</f>
        <v>1.4142135623730951</v>
      </c>
      <c r="E23" s="9">
        <f>SQRT((C10-C5)^2 + (D10-D5)^2)</f>
        <v>4.2426406871192848</v>
      </c>
      <c r="F23" s="42">
        <f>SQRT((C10-C6)^2 + (D10-D6)^2)</f>
        <v>2</v>
      </c>
      <c r="G23" s="21">
        <f>SQRT((C10-C7)^2 + (D10-D7)^2)</f>
        <v>3.6055512754639891</v>
      </c>
      <c r="H23" s="9">
        <f>SQRT((C10-C8)^2 + (D10-D8)^2)</f>
        <v>4.1231056256176606</v>
      </c>
      <c r="I23" s="15">
        <f>SQRT((C10-C9)^2 + (D10-D9)^2)</f>
        <v>2.2360679774997898</v>
      </c>
      <c r="J23" s="9"/>
      <c r="K23" s="20">
        <f>SQRT((C11-C10)^2 + (D11-D10)^2)</f>
        <v>2</v>
      </c>
      <c r="L23" s="15">
        <f>SQRT((C10-C12)^2 + (D10-D12)^2)</f>
        <v>15</v>
      </c>
    </row>
    <row r="24" spans="2:14" x14ac:dyDescent="0.3">
      <c r="B24" s="8">
        <v>9</v>
      </c>
      <c r="C24" s="47">
        <f>SQRT((C11-C3)^2 + (D11-D3)^2)</f>
        <v>1</v>
      </c>
      <c r="D24" s="41">
        <f>SQRT((C11-C4)^2 + (D11-D4)^2)</f>
        <v>1.4142135623730951</v>
      </c>
      <c r="E24" s="21">
        <f>SQRT((C11-C5)^2 + (D11-D5)^2)</f>
        <v>3.1622776601683795</v>
      </c>
      <c r="F24" s="15">
        <f>SQRT((C11-C6)^2 + (D11-D6)^2)</f>
        <v>2.8284271247461903</v>
      </c>
      <c r="G24" s="9">
        <f>SQRT((C11-C7)^2 + (D11-D7)^2)</f>
        <v>3</v>
      </c>
      <c r="H24" s="15">
        <f>SQRT((C11-C8)^2 + (D11-D8)^2)</f>
        <v>5</v>
      </c>
      <c r="I24" s="15">
        <f>SQRT((C11-C9)^2 + (D11-D9)^2)</f>
        <v>4.1231056256176606</v>
      </c>
      <c r="J24" s="20">
        <f>SQRT((C11-C10)^2 + (D11-D10)^2)</f>
        <v>2</v>
      </c>
      <c r="K24" s="9"/>
      <c r="L24" s="15">
        <f>SQRT((C11-C12)^2 + (D11-D12)^2)</f>
        <v>16.278820596099706</v>
      </c>
    </row>
    <row r="25" spans="2:14" x14ac:dyDescent="0.3">
      <c r="B25" s="8">
        <v>10</v>
      </c>
      <c r="C25" s="22">
        <f>SQRT((C12-C3)^2 + (D12-D3)^2)</f>
        <v>17.029386365926403</v>
      </c>
      <c r="D25" s="43">
        <f>SQRT((C12-C4)^2 + (D12-D4)^2)</f>
        <v>14.866068747318506</v>
      </c>
      <c r="E25" s="22">
        <f>SQRT((C12-C5)^2 + (D12-D5)^2)</f>
        <v>19.209372712298546</v>
      </c>
      <c r="F25" s="22">
        <f>SQRT((C12-C6)^2 + (D12-D6)^2)</f>
        <v>16.643316977093239</v>
      </c>
      <c r="G25" s="22">
        <f>SQRT((C7-C12)^2 + (D7-D12)^2)</f>
        <v>18.601075237738275</v>
      </c>
      <c r="H25" s="23">
        <f>SQRT((C8-C12)^2 + (D8-D12)^2)</f>
        <v>17.888543819998318</v>
      </c>
      <c r="I25" s="49">
        <f>SQRT((C9-C12)^2 + (D9-D12)^2)</f>
        <v>14.7648230602334</v>
      </c>
      <c r="J25" s="24">
        <f>SQRT((C10-C12)^2 + (D10-D12)^2)</f>
        <v>15</v>
      </c>
      <c r="K25" s="22">
        <f>SQRT((C11-C12)^2 + (D11-D12)^2)</f>
        <v>16.278820596099706</v>
      </c>
      <c r="L25" s="25"/>
    </row>
    <row r="27" spans="2:14" x14ac:dyDescent="0.3">
      <c r="B27" s="6" t="s">
        <v>32</v>
      </c>
      <c r="E27" s="26" t="s">
        <v>33</v>
      </c>
      <c r="F27" s="27">
        <v>3</v>
      </c>
    </row>
    <row r="28" spans="2:14" x14ac:dyDescent="0.3">
      <c r="B28" s="28" t="s">
        <v>31</v>
      </c>
      <c r="C28" s="29">
        <v>1</v>
      </c>
      <c r="D28" s="29">
        <v>2</v>
      </c>
      <c r="E28" s="29">
        <v>3</v>
      </c>
      <c r="F28" s="29">
        <v>4</v>
      </c>
      <c r="G28" s="29">
        <v>5</v>
      </c>
      <c r="H28" s="29">
        <v>6</v>
      </c>
      <c r="I28" s="29">
        <v>7</v>
      </c>
      <c r="J28" s="29">
        <v>8</v>
      </c>
      <c r="K28" s="29">
        <v>9</v>
      </c>
      <c r="L28" s="29">
        <v>10</v>
      </c>
    </row>
    <row r="29" spans="2:14" x14ac:dyDescent="0.3">
      <c r="B29" s="30">
        <v>1</v>
      </c>
      <c r="C29" s="32"/>
      <c r="D29" s="31"/>
      <c r="E29" s="31"/>
      <c r="F29" s="32"/>
      <c r="G29" s="42">
        <f>MAX(F20,G16)</f>
        <v>2.2360679774997898</v>
      </c>
      <c r="H29" s="33"/>
      <c r="I29" s="32"/>
      <c r="J29" s="36">
        <f>MAX(K23,J16)</f>
        <v>2.2360679774997898</v>
      </c>
      <c r="K29" s="50">
        <f>MAX(J24,K16)</f>
        <v>2</v>
      </c>
      <c r="L29" s="32"/>
    </row>
    <row r="30" spans="2:14" x14ac:dyDescent="0.3">
      <c r="B30" s="30">
        <v>2</v>
      </c>
      <c r="C30" s="37">
        <f>MAX(C17,D16)</f>
        <v>2.2360679774997898</v>
      </c>
      <c r="D30" s="32"/>
      <c r="E30" s="31"/>
      <c r="F30" s="32"/>
      <c r="G30" s="32"/>
      <c r="H30" s="32"/>
      <c r="I30" s="32"/>
      <c r="J30" s="47">
        <f>MAX(K23,J17)</f>
        <v>2</v>
      </c>
      <c r="K30" s="54">
        <f>MAX(J24,K17)</f>
        <v>2</v>
      </c>
      <c r="L30" s="32"/>
      <c r="N30" s="6" t="s">
        <v>34</v>
      </c>
    </row>
    <row r="31" spans="2:14" x14ac:dyDescent="0.3">
      <c r="B31" s="30">
        <v>3</v>
      </c>
      <c r="C31" s="54">
        <f>MAX(J16,C18)</f>
        <v>2.2360679774997898</v>
      </c>
      <c r="D31" s="31"/>
      <c r="E31" s="32"/>
      <c r="F31" s="38">
        <f>MAX(I19,F18)</f>
        <v>3.1622776601683795</v>
      </c>
      <c r="G31" s="53">
        <f>MAX(F20,G18)</f>
        <v>2.2360679774997898</v>
      </c>
      <c r="H31" s="32"/>
      <c r="I31" s="32"/>
      <c r="J31" s="32"/>
      <c r="K31" s="31"/>
      <c r="L31" s="32"/>
      <c r="N31" s="6" t="s">
        <v>35</v>
      </c>
    </row>
    <row r="32" spans="2:14" x14ac:dyDescent="0.3">
      <c r="B32" s="30">
        <v>4</v>
      </c>
      <c r="C32" s="32"/>
      <c r="D32" s="32"/>
      <c r="E32" s="32"/>
      <c r="F32" s="32"/>
      <c r="G32" s="54">
        <f>MAX(F20,G19)</f>
        <v>2.2360679774997898</v>
      </c>
      <c r="H32" s="31"/>
      <c r="I32" s="38">
        <f>MAX(H22,I19)</f>
        <v>3.1622776601683795</v>
      </c>
      <c r="J32" s="50">
        <f>MAX(K23,J19)</f>
        <v>2</v>
      </c>
      <c r="K32" s="32"/>
      <c r="L32" s="32"/>
    </row>
    <row r="33" spans="2:12" x14ac:dyDescent="0.3">
      <c r="B33" s="30">
        <v>5</v>
      </c>
      <c r="C33" s="54">
        <f>MAX(J16,C20)</f>
        <v>2.2360679774997898</v>
      </c>
      <c r="D33" s="32"/>
      <c r="E33" s="53">
        <f>MAX(F18,E20)</f>
        <v>3.1622776601683795</v>
      </c>
      <c r="F33" s="37">
        <f>MAX(I19,F20)</f>
        <v>2.2360679774997898</v>
      </c>
      <c r="G33" s="32"/>
      <c r="H33" s="32"/>
      <c r="I33" s="32"/>
      <c r="J33" s="31"/>
      <c r="K33" s="32"/>
      <c r="L33" s="32"/>
    </row>
    <row r="34" spans="2:12" x14ac:dyDescent="0.3">
      <c r="B34" s="30">
        <v>6</v>
      </c>
      <c r="C34" s="34"/>
      <c r="D34" s="34"/>
      <c r="E34" s="34"/>
      <c r="F34" s="51">
        <f>MAX(C17,F21)</f>
        <v>2.2360679774997898</v>
      </c>
      <c r="G34" s="55">
        <f>MAX(F20,G21)</f>
        <v>3.1622776601683795</v>
      </c>
      <c r="H34" s="34"/>
      <c r="I34" s="39">
        <f>MAX(H22,I21)</f>
        <v>3.1622776601683795</v>
      </c>
      <c r="J34" s="35"/>
      <c r="K34" s="34"/>
      <c r="L34" s="34"/>
    </row>
    <row r="35" spans="2:12" x14ac:dyDescent="0.3">
      <c r="B35" s="30">
        <v>7</v>
      </c>
      <c r="C35" s="32"/>
      <c r="D35" s="32"/>
      <c r="E35" s="32"/>
      <c r="F35" s="52">
        <f>MAX(I19,F22)</f>
        <v>2.2360679774997898</v>
      </c>
      <c r="G35" s="32"/>
      <c r="H35" s="37">
        <f>MAX(I21,H22)</f>
        <v>3.1622776601683795</v>
      </c>
      <c r="I35" s="32"/>
      <c r="J35" s="54">
        <f>MAX(K23,J22)</f>
        <v>2.2360679774997898</v>
      </c>
      <c r="K35" s="32"/>
      <c r="L35" s="32"/>
    </row>
    <row r="36" spans="2:12" x14ac:dyDescent="0.3">
      <c r="B36" s="30">
        <v>8</v>
      </c>
      <c r="C36" s="32"/>
      <c r="D36" s="32"/>
      <c r="E36" s="53">
        <f>MAX(C17,D23)</f>
        <v>2.2360679774997898</v>
      </c>
      <c r="F36" s="54">
        <f>MAX(I19,F23)</f>
        <v>2.2360679774997898</v>
      </c>
      <c r="G36" s="31"/>
      <c r="H36" s="31"/>
      <c r="I36" s="32"/>
      <c r="J36" s="32"/>
      <c r="K36" s="38">
        <f>MAX(D24,K23)</f>
        <v>2</v>
      </c>
      <c r="L36" s="32"/>
    </row>
    <row r="37" spans="2:12" x14ac:dyDescent="0.3">
      <c r="B37" s="30">
        <v>9</v>
      </c>
      <c r="C37" s="52">
        <f>MAX(J16,C24)</f>
        <v>2.2360679774997898</v>
      </c>
      <c r="D37" s="54">
        <f>MAX(C17,D24)</f>
        <v>2.2360679774997898</v>
      </c>
      <c r="E37" s="31"/>
      <c r="F37" s="32"/>
      <c r="G37" s="32"/>
      <c r="H37" s="32"/>
      <c r="I37" s="32"/>
      <c r="J37" s="12">
        <f>MAX(K23,J24)</f>
        <v>2</v>
      </c>
      <c r="K37" s="32"/>
      <c r="L37" s="32"/>
    </row>
    <row r="38" spans="2:12" x14ac:dyDescent="0.3">
      <c r="B38" s="30">
        <v>10</v>
      </c>
      <c r="C38" s="32"/>
      <c r="D38" s="42">
        <f>MAX(C17,D25)</f>
        <v>14.866068747318506</v>
      </c>
      <c r="E38" s="32"/>
      <c r="F38" s="32"/>
      <c r="G38" s="32"/>
      <c r="H38" s="31"/>
      <c r="I38" s="52">
        <f>MAX(H22,I25)</f>
        <v>14.7648230602334</v>
      </c>
      <c r="J38" s="38">
        <f>MAX(J16,J25)</f>
        <v>15</v>
      </c>
      <c r="K38" s="31"/>
      <c r="L38" s="32"/>
    </row>
    <row r="40" spans="2:12" x14ac:dyDescent="0.3">
      <c r="B40" s="6" t="s">
        <v>36</v>
      </c>
      <c r="C40" s="6"/>
    </row>
    <row r="41" spans="2:12" x14ac:dyDescent="0.3">
      <c r="B41" s="6" t="s">
        <v>37</v>
      </c>
      <c r="C41" s="56">
        <f>VALUE(F27)/SUM(K29+G29+J29)</f>
        <v>0.46352549156242112</v>
      </c>
      <c r="D41" s="6" t="s">
        <v>58</v>
      </c>
      <c r="G41" s="6"/>
    </row>
    <row r="42" spans="2:12" x14ac:dyDescent="0.3">
      <c r="B42" s="6" t="s">
        <v>38</v>
      </c>
      <c r="C42" s="56">
        <f>VALUE(F27)/SUM(J30+K30+C30)</f>
        <v>0.48107236977278461</v>
      </c>
      <c r="D42" s="6" t="s">
        <v>59</v>
      </c>
    </row>
    <row r="43" spans="2:12" x14ac:dyDescent="0.3">
      <c r="B43" s="6" t="s">
        <v>39</v>
      </c>
      <c r="C43" s="56">
        <f>VALUE(F27)/SUM(G31+C31+F31)</f>
        <v>0.39295748844935996</v>
      </c>
      <c r="D43" s="6" t="s">
        <v>60</v>
      </c>
    </row>
    <row r="44" spans="2:12" x14ac:dyDescent="0.3">
      <c r="B44" s="6" t="s">
        <v>40</v>
      </c>
      <c r="C44" s="56">
        <f>VALUE(F27)/SUM(J32+G32+I32)</f>
        <v>0.40549605910890479</v>
      </c>
      <c r="D44" s="6" t="s">
        <v>61</v>
      </c>
    </row>
    <row r="45" spans="2:12" x14ac:dyDescent="0.3">
      <c r="B45" s="6" t="s">
        <v>41</v>
      </c>
      <c r="C45" s="56">
        <f>VALUE(F27)/SUM(E33+C33+F33)</f>
        <v>0.39295748844935996</v>
      </c>
      <c r="D45" s="6" t="s">
        <v>62</v>
      </c>
    </row>
    <row r="46" spans="2:12" x14ac:dyDescent="0.3">
      <c r="B46" s="6" t="s">
        <v>42</v>
      </c>
      <c r="C46" s="56">
        <f>VALUE(F27)/SUM(F34+G34+I34)</f>
        <v>0.35044177224316869</v>
      </c>
      <c r="D46" s="6" t="s">
        <v>63</v>
      </c>
    </row>
    <row r="47" spans="2:12" x14ac:dyDescent="0.3">
      <c r="B47" s="6" t="s">
        <v>43</v>
      </c>
      <c r="C47" s="56">
        <f>VALUE(F27)/SUM(F35+J35+H35)</f>
        <v>0.39295748844935996</v>
      </c>
      <c r="D47" s="6" t="s">
        <v>64</v>
      </c>
    </row>
    <row r="48" spans="2:12" x14ac:dyDescent="0.3">
      <c r="B48" s="6" t="s">
        <v>44</v>
      </c>
      <c r="C48" s="56">
        <f>VALUE(F27)/SUM(E36+F36+K36)</f>
        <v>0.46352549156242112</v>
      </c>
      <c r="D48" s="6" t="s">
        <v>65</v>
      </c>
    </row>
    <row r="49" spans="2:4" x14ac:dyDescent="0.3">
      <c r="B49" s="6" t="s">
        <v>45</v>
      </c>
      <c r="C49" s="56">
        <f>VALUE(F27)/SUM(C37+D37+J37)</f>
        <v>0.46352549156242112</v>
      </c>
      <c r="D49" s="6" t="s">
        <v>66</v>
      </c>
    </row>
    <row r="50" spans="2:4" x14ac:dyDescent="0.3">
      <c r="B50" s="6" t="s">
        <v>46</v>
      </c>
      <c r="C50" s="56">
        <f>VALUE(F27)/SUM(I38+D38+J38)</f>
        <v>6.7218016008642162E-2</v>
      </c>
      <c r="D50" s="6" t="s">
        <v>67</v>
      </c>
    </row>
    <row r="52" spans="2:4" x14ac:dyDescent="0.3">
      <c r="B52" s="6" t="s">
        <v>47</v>
      </c>
    </row>
    <row r="53" spans="2:4" x14ac:dyDescent="0.3">
      <c r="B53" s="6" t="s">
        <v>48</v>
      </c>
      <c r="C53" s="56">
        <f>(SUM(C49+C45+C48)/3)/C41</f>
        <v>0.94925269886438157</v>
      </c>
    </row>
    <row r="54" spans="2:4" x14ac:dyDescent="0.3">
      <c r="B54" s="6" t="s">
        <v>49</v>
      </c>
      <c r="C54" s="56">
        <f>(SUM(C48+C49+C41)/3)/C42</f>
        <v>0.96352549156242118</v>
      </c>
    </row>
    <row r="55" spans="2:4" x14ac:dyDescent="0.3">
      <c r="B55" s="6" t="s">
        <v>50</v>
      </c>
      <c r="C55" s="56">
        <f>(SUM(C45+C41+C44)/3)/C43</f>
        <v>1.0704966620355048</v>
      </c>
      <c r="D55" s="6"/>
    </row>
    <row r="56" spans="2:4" x14ac:dyDescent="0.3">
      <c r="B56" s="6" t="s">
        <v>51</v>
      </c>
      <c r="C56" s="56">
        <f>(SUM(C48+C45+C47)/3)/C44</f>
        <v>1.0270880488183951</v>
      </c>
      <c r="D56" s="6"/>
    </row>
    <row r="57" spans="2:4" x14ac:dyDescent="0.3">
      <c r="B57" s="6" t="s">
        <v>52</v>
      </c>
      <c r="C57" s="56">
        <f>(SUM(C43+C41+C44)/3)/C44</f>
        <v>1.0373952354341327</v>
      </c>
      <c r="D57" s="6"/>
    </row>
    <row r="58" spans="2:4" x14ac:dyDescent="0.3">
      <c r="B58" s="6" t="s">
        <v>53</v>
      </c>
      <c r="C58" s="56">
        <f>(SUM(C44+C45+C47)/3)/C46</f>
        <v>1.1332467857940505</v>
      </c>
    </row>
    <row r="59" spans="2:4" x14ac:dyDescent="0.3">
      <c r="B59" s="6" t="s">
        <v>54</v>
      </c>
      <c r="C59" s="56">
        <f>(SUM(C44+C48+C46)/3)/C47</f>
        <v>1.034431932850709</v>
      </c>
    </row>
    <row r="60" spans="2:4" x14ac:dyDescent="0.3">
      <c r="B60" s="6" t="s">
        <v>55</v>
      </c>
      <c r="C60" s="56">
        <f>(SUM(C43+C44+C49)/3)/C48</f>
        <v>0.90752221261653476</v>
      </c>
      <c r="D60" s="6"/>
    </row>
    <row r="61" spans="2:4" x14ac:dyDescent="0.3">
      <c r="B61" s="6" t="s">
        <v>56</v>
      </c>
      <c r="C61" s="56">
        <f>(SUM(C41+C42+C48)/3)/C49</f>
        <v>1.012618420151477</v>
      </c>
    </row>
    <row r="62" spans="2:4" x14ac:dyDescent="0.3">
      <c r="B62" s="6" t="s">
        <v>57</v>
      </c>
      <c r="C62" s="56">
        <f>(SUM(C47+C42+C48)/3)/C50</f>
        <v>6.6329209003163552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Rendy Devano</dc:creator>
  <cp:lastModifiedBy>Rendy Devano</cp:lastModifiedBy>
  <dcterms:created xsi:type="dcterms:W3CDTF">2025-03-08T08:21:00Z</dcterms:created>
  <dcterms:modified xsi:type="dcterms:W3CDTF">2025-03-12T07:57:48Z</dcterms:modified>
</cp:coreProperties>
</file>